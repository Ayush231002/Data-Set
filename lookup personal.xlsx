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wer BI Traning(ALLENHOUSE)\Excel Data\"/>
    </mc:Choice>
  </mc:AlternateContent>
  <xr:revisionPtr revIDLastSave="0" documentId="13_ncr:1_{0A846DA3-A99E-4430-84B3-D9E160C966D9}" xr6:coauthVersionLast="47" xr6:coauthVersionMax="47" xr10:uidLastSave="{00000000-0000-0000-0000-000000000000}"/>
  <bookViews>
    <workbookView xWindow="-96" yWindow="-96" windowWidth="23232" windowHeight="12432" activeTab="6" xr2:uid="{79ACE5EF-499A-4FF1-B588-B9C0CA63BE42}"/>
  </bookViews>
  <sheets>
    <sheet name="MAIN" sheetId="1" r:id="rId1"/>
    <sheet name="VLOOKUP" sheetId="7" r:id="rId2"/>
    <sheet name="HLOOKUP" sheetId="6" r:id="rId3"/>
    <sheet name="HLOOK_UP" sheetId="8" r:id="rId4"/>
    <sheet name="MATCH" sheetId="5" r:id="rId5"/>
    <sheet name="ACCOUNT" sheetId="4" r:id="rId6"/>
    <sheet name="Xlookup" sheetId="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5" i="4" l="1" a="1"/>
  <c r="U5" i="4" s="1"/>
  <c r="E11" i="6"/>
  <c r="K11" i="1"/>
  <c r="L11" i="1" s="1"/>
  <c r="J11" i="1"/>
  <c r="M1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<sst xmlns="http://schemas.openxmlformats.org/spreadsheetml/2006/main" count="1076" uniqueCount="210">
  <si>
    <t>Student_ID</t>
  </si>
  <si>
    <t>Name</t>
  </si>
  <si>
    <t>Degree</t>
  </si>
  <si>
    <t>Mobile_Number</t>
  </si>
  <si>
    <t>City</t>
  </si>
  <si>
    <t>Admission_Date</t>
  </si>
  <si>
    <t>STU001</t>
  </si>
  <si>
    <t>BCA</t>
  </si>
  <si>
    <t>Udaipur</t>
  </si>
  <si>
    <t>STU002</t>
  </si>
  <si>
    <t>BTEC</t>
  </si>
  <si>
    <t>Nagaon</t>
  </si>
  <si>
    <t>STU003</t>
  </si>
  <si>
    <t>BSC</t>
  </si>
  <si>
    <t>Durgapur</t>
  </si>
  <si>
    <t>STU004</t>
  </si>
  <si>
    <t>BCom</t>
  </si>
  <si>
    <t>Raipur</t>
  </si>
  <si>
    <t>STU005</t>
  </si>
  <si>
    <t>LLB</t>
  </si>
  <si>
    <t>Mango</t>
  </si>
  <si>
    <t>STU006</t>
  </si>
  <si>
    <t>BBA</t>
  </si>
  <si>
    <t>Kanpur</t>
  </si>
  <si>
    <t>STU007</t>
  </si>
  <si>
    <t>BA</t>
  </si>
  <si>
    <t>Jaipur</t>
  </si>
  <si>
    <t>STU008</t>
  </si>
  <si>
    <t>Davanagere</t>
  </si>
  <si>
    <t>STU009</t>
  </si>
  <si>
    <t>Madanapalle</t>
  </si>
  <si>
    <t>STU010</t>
  </si>
  <si>
    <t>Raiganj</t>
  </si>
  <si>
    <t>STU011</t>
  </si>
  <si>
    <t>Darbhanga</t>
  </si>
  <si>
    <t>STU012</t>
  </si>
  <si>
    <t>Hosur</t>
  </si>
  <si>
    <t>STU013</t>
  </si>
  <si>
    <t>Ratlam</t>
  </si>
  <si>
    <t>STU014</t>
  </si>
  <si>
    <t>Nashik</t>
  </si>
  <si>
    <t>STU015</t>
  </si>
  <si>
    <t>STU016</t>
  </si>
  <si>
    <t>Machilipatnam</t>
  </si>
  <si>
    <t>STU017</t>
  </si>
  <si>
    <t>Kamarhati</t>
  </si>
  <si>
    <t>STU018</t>
  </si>
  <si>
    <t>Mangalore</t>
  </si>
  <si>
    <t>STU019</t>
  </si>
  <si>
    <t>Begusarai</t>
  </si>
  <si>
    <t>STU020</t>
  </si>
  <si>
    <t>Mahbubnagar</t>
  </si>
  <si>
    <t>STU021</t>
  </si>
  <si>
    <t>Loni</t>
  </si>
  <si>
    <t>STU022</t>
  </si>
  <si>
    <t>Thane</t>
  </si>
  <si>
    <t>STU023</t>
  </si>
  <si>
    <t>Aurangabad</t>
  </si>
  <si>
    <t>STU024</t>
  </si>
  <si>
    <t>Agra</t>
  </si>
  <si>
    <t>STU025</t>
  </si>
  <si>
    <t>Hazaribagh</t>
  </si>
  <si>
    <t>STU026</t>
  </si>
  <si>
    <t>Tadepalligudem</t>
  </si>
  <si>
    <t>STU027</t>
  </si>
  <si>
    <t>Bidar</t>
  </si>
  <si>
    <t>STU028</t>
  </si>
  <si>
    <t>Ramagundam</t>
  </si>
  <si>
    <t>STU029</t>
  </si>
  <si>
    <t>Purnia</t>
  </si>
  <si>
    <t>STU030</t>
  </si>
  <si>
    <t>Nadiad</t>
  </si>
  <si>
    <t>STU031</t>
  </si>
  <si>
    <t>Junagadh</t>
  </si>
  <si>
    <t>STU032</t>
  </si>
  <si>
    <t>Buxar</t>
  </si>
  <si>
    <t>STU033</t>
  </si>
  <si>
    <t>Jalgaon</t>
  </si>
  <si>
    <t>STU034</t>
  </si>
  <si>
    <t>Nagercoil</t>
  </si>
  <si>
    <t>STU035</t>
  </si>
  <si>
    <t>STU036</t>
  </si>
  <si>
    <t>Ghaziabad</t>
  </si>
  <si>
    <t>STU037</t>
  </si>
  <si>
    <t>Udupi</t>
  </si>
  <si>
    <t>STU038</t>
  </si>
  <si>
    <t>Jalandhar</t>
  </si>
  <si>
    <t>STU039</t>
  </si>
  <si>
    <t>New Delhi</t>
  </si>
  <si>
    <t>STU040</t>
  </si>
  <si>
    <t>Siliguri</t>
  </si>
  <si>
    <t>STU041</t>
  </si>
  <si>
    <t>Salem</t>
  </si>
  <si>
    <t>STU042</t>
  </si>
  <si>
    <t>Moradabad</t>
  </si>
  <si>
    <t>STU043</t>
  </si>
  <si>
    <t>Ambattur</t>
  </si>
  <si>
    <t>STU044</t>
  </si>
  <si>
    <t>Jammu</t>
  </si>
  <si>
    <t>STU045</t>
  </si>
  <si>
    <t>Shivpuri</t>
  </si>
  <si>
    <t>STU046</t>
  </si>
  <si>
    <t>Bhopal</t>
  </si>
  <si>
    <t>STU047</t>
  </si>
  <si>
    <t>Chapra</t>
  </si>
  <si>
    <t>STU048</t>
  </si>
  <si>
    <t>STU049</t>
  </si>
  <si>
    <t>Faridabad</t>
  </si>
  <si>
    <t>STU050</t>
  </si>
  <si>
    <t>Howrah</t>
  </si>
  <si>
    <t>Aarav Sharma</t>
  </si>
  <si>
    <t>Vivaan Mehta</t>
  </si>
  <si>
    <t>Aditya Verma</t>
  </si>
  <si>
    <t>Arjun Singh</t>
  </si>
  <si>
    <t>Krishna Iyer</t>
  </si>
  <si>
    <t>Rohan Nair</t>
  </si>
  <si>
    <t>Siddharth Joshi</t>
  </si>
  <si>
    <t>Aniket Gupta</t>
  </si>
  <si>
    <t>Pranav Reddy</t>
  </si>
  <si>
    <t>Harsh Chauhan</t>
  </si>
  <si>
    <t>Manish Patel</t>
  </si>
  <si>
    <t>Varun Saxena</t>
  </si>
  <si>
    <t>Kunal Bansal</t>
  </si>
  <si>
    <t>Rajesh Mishra</t>
  </si>
  <si>
    <t>Abhishek Dubey</t>
  </si>
  <si>
    <t>Mohit Tiwari</t>
  </si>
  <si>
    <t>Saurabh Pandey</t>
  </si>
  <si>
    <t>Uday Kulkarni</t>
  </si>
  <si>
    <t>Gaurav Choudhary</t>
  </si>
  <si>
    <t>Nitin Shukla</t>
  </si>
  <si>
    <t>Deepak Srivastava</t>
  </si>
  <si>
    <t>Ashwin Deshmukh</t>
  </si>
  <si>
    <t>Sanjay Rawat</t>
  </si>
  <si>
    <t>Anshul Jindal</t>
  </si>
  <si>
    <t>Vivek Malhotra</t>
  </si>
  <si>
    <t>Ananya Sharma</t>
  </si>
  <si>
    <t>Kavya Mehta</t>
  </si>
  <si>
    <t>Riya Verma</t>
  </si>
  <si>
    <t>Priya Singh</t>
  </si>
  <si>
    <t>Ishita Iyer</t>
  </si>
  <si>
    <t>Sneha Nair</t>
  </si>
  <si>
    <t>Shreya Joshi</t>
  </si>
  <si>
    <t>Pooja Gupta</t>
  </si>
  <si>
    <t>Tanvi Reddy</t>
  </si>
  <si>
    <t>Neha Chauhan</t>
  </si>
  <si>
    <t>Sakshi Patel</t>
  </si>
  <si>
    <t>Divya Saxena</t>
  </si>
  <si>
    <t>Aditi Bansal</t>
  </si>
  <si>
    <t>Meera Mishra</t>
  </si>
  <si>
    <t>Komal Dubey</t>
  </si>
  <si>
    <t>Nisha Tiwari</t>
  </si>
  <si>
    <t>Swati Pandey</t>
  </si>
  <si>
    <t>Radhika Kulkarni</t>
  </si>
  <si>
    <t>Jyoti Choudhary</t>
  </si>
  <si>
    <t>Poonam Shukla</t>
  </si>
  <si>
    <t>Kiran Srivastava</t>
  </si>
  <si>
    <t>Shruti Deshmukh</t>
  </si>
  <si>
    <t>Sonali Rawat</t>
  </si>
  <si>
    <t>Payal Jindal</t>
  </si>
  <si>
    <t>Pallavi Malhotra</t>
  </si>
  <si>
    <t>Fees</t>
  </si>
  <si>
    <t>Total Admission</t>
  </si>
  <si>
    <t>Total Amount</t>
  </si>
  <si>
    <t>FEES(Sem)</t>
  </si>
  <si>
    <t>VLOOKUP</t>
  </si>
  <si>
    <t>XLOOUP WITH INDEX MATCH</t>
  </si>
  <si>
    <t>Current Account</t>
  </si>
  <si>
    <t>Customer Name</t>
  </si>
  <si>
    <t>Account Number</t>
  </si>
  <si>
    <t>Balance (INR)</t>
  </si>
  <si>
    <t>Account Type</t>
  </si>
  <si>
    <t>Ananya Singh</t>
  </si>
  <si>
    <t>Delhi</t>
  </si>
  <si>
    <t>Current</t>
  </si>
  <si>
    <t>Diya Gupta</t>
  </si>
  <si>
    <t>Pune</t>
  </si>
  <si>
    <t>Kiara Verma</t>
  </si>
  <si>
    <t>Chennai</t>
  </si>
  <si>
    <t>Meera Nair</t>
  </si>
  <si>
    <t>Kolkata</t>
  </si>
  <si>
    <t>Saanvi Deshmukh</t>
  </si>
  <si>
    <t>Saving Account</t>
  </si>
  <si>
    <t>Mumbai</t>
  </si>
  <si>
    <t>Savings</t>
  </si>
  <si>
    <t>Vivaan Kumar</t>
  </si>
  <si>
    <t>Bangalore</t>
  </si>
  <si>
    <t>Ishaan Joshi</t>
  </si>
  <si>
    <t>Hyderabad</t>
  </si>
  <si>
    <t>Rohan Patel</t>
  </si>
  <si>
    <t>Ahmedabad</t>
  </si>
  <si>
    <t>Aditya Malhotra</t>
  </si>
  <si>
    <t>Surat</t>
  </si>
  <si>
    <t>XLOOKUP USE 2 DATA TABLES</t>
  </si>
  <si>
    <t>Credit Card Limit</t>
  </si>
  <si>
    <t>Gupta Ankit</t>
  </si>
  <si>
    <t>Vinod Singh</t>
  </si>
  <si>
    <t>Vijay Mehta</t>
  </si>
  <si>
    <t>Sayali Pandey</t>
  </si>
  <si>
    <t>Vikas Singh</t>
  </si>
  <si>
    <t>Sohail Khan</t>
  </si>
  <si>
    <t>Rupali Deskmukh</t>
  </si>
  <si>
    <t>Lakshi Gupta</t>
  </si>
  <si>
    <t>Radha Gupta</t>
  </si>
  <si>
    <t>Sanket Mehra</t>
  </si>
  <si>
    <t>Last 5 Months Average Balance</t>
  </si>
  <si>
    <t xml:space="preserve">XLOOKUP With  Match </t>
  </si>
  <si>
    <t>XLOOUP with IF</t>
  </si>
  <si>
    <t>XLOOKUP</t>
  </si>
  <si>
    <t>How can I retrieve a customer's name, balance, city, and account type based on their account ID, and if the account ID is not found in the database, display a message saying, "Your account does not exist in our bank. Thank you for visiting".</t>
  </si>
  <si>
    <r>
      <rPr>
        <b/>
        <sz val="11"/>
        <color theme="1"/>
        <rFont val="Calibri"/>
        <family val="2"/>
        <scheme val="minor"/>
      </rPr>
      <t>account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number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</si>
</sst>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FF0000"/>
      </bottom>
      <diagonal/>
    </border>
    <border>
      <left/>
      <right/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 style="thick">
        <color rgb="FFFF0000"/>
      </left>
      <right/>
      <top/>
      <bottom style="thick">
        <color rgb="FFFF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2">
    <xf numFmtId="0" fontId="0" fillId="0" borderId="0" xfId="0"/>
    <xf numFmtId="14" fontId="0" fillId="0" borderId="0" xfId="0" applyNumberFormat="1"/>
    <xf numFmtId="0" fontId="16" fillId="0" borderId="10" xfId="0" applyFont="1" applyBorder="1"/>
    <xf numFmtId="0" fontId="16" fillId="33" borderId="10" xfId="0" applyFont="1" applyFill="1" applyBorder="1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16" fillId="33" borderId="11" xfId="0" applyFont="1" applyFill="1" applyBorder="1" applyAlignment="1">
      <alignment horizontal="center" vertical="center"/>
    </xf>
    <xf numFmtId="0" fontId="16" fillId="34" borderId="10" xfId="0" applyFont="1" applyFill="1" applyBorder="1" applyAlignment="1">
      <alignment horizontal="center" vertical="center"/>
    </xf>
    <xf numFmtId="164" fontId="0" fillId="0" borderId="10" xfId="0" applyNumberFormat="1" applyBorder="1"/>
    <xf numFmtId="0" fontId="16" fillId="0" borderId="0" xfId="0" applyFont="1" applyAlignment="1">
      <alignment horizontal="center" vertical="top"/>
    </xf>
    <xf numFmtId="0" fontId="16" fillId="0" borderId="10" xfId="0" applyFont="1" applyBorder="1" applyAlignment="1">
      <alignment horizontal="left" vertical="top"/>
    </xf>
    <xf numFmtId="0" fontId="16" fillId="37" borderId="12" xfId="0" applyFont="1" applyFill="1" applyBorder="1"/>
    <xf numFmtId="0" fontId="16" fillId="0" borderId="10" xfId="0" applyFont="1" applyBorder="1" applyAlignment="1">
      <alignment horizontal="center" vertical="top"/>
    </xf>
    <xf numFmtId="0" fontId="16" fillId="38" borderId="10" xfId="0" applyFont="1" applyFill="1" applyBorder="1" applyAlignment="1">
      <alignment horizontal="center" vertical="top"/>
    </xf>
    <xf numFmtId="0" fontId="16" fillId="33" borderId="12" xfId="0" applyFont="1" applyFill="1" applyBorder="1"/>
    <xf numFmtId="0" fontId="16" fillId="39" borderId="10" xfId="0" applyFont="1" applyFill="1" applyBorder="1" applyAlignment="1">
      <alignment horizontal="center" vertical="top"/>
    </xf>
    <xf numFmtId="0" fontId="16" fillId="40" borderId="12" xfId="0" applyFont="1" applyFill="1" applyBorder="1"/>
    <xf numFmtId="0" fontId="16" fillId="41" borderId="10" xfId="0" applyFont="1" applyFill="1" applyBorder="1" applyAlignment="1">
      <alignment horizontal="center" vertical="top"/>
    </xf>
    <xf numFmtId="0" fontId="16" fillId="41" borderId="10" xfId="0" applyFont="1" applyFill="1" applyBorder="1"/>
    <xf numFmtId="0" fontId="18" fillId="0" borderId="0" xfId="0" applyFont="1" applyAlignment="1">
      <alignment vertical="center"/>
    </xf>
    <xf numFmtId="0" fontId="0" fillId="0" borderId="13" xfId="0" applyBorder="1"/>
    <xf numFmtId="14" fontId="0" fillId="0" borderId="10" xfId="0" applyNumberFormat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0" fillId="0" borderId="16" xfId="0" applyBorder="1" applyAlignment="1">
      <alignment vertical="center" wrapText="1"/>
    </xf>
    <xf numFmtId="0" fontId="18" fillId="0" borderId="15" xfId="0" applyFont="1" applyBorder="1" applyAlignment="1">
      <alignment vertical="center"/>
    </xf>
    <xf numFmtId="0" fontId="18" fillId="0" borderId="16" xfId="0" applyFont="1" applyBorder="1" applyAlignment="1">
      <alignment vertical="center"/>
    </xf>
    <xf numFmtId="0" fontId="0" fillId="0" borderId="10" xfId="0" applyBorder="1" applyAlignment="1">
      <alignment horizontal="right" vertical="center"/>
    </xf>
    <xf numFmtId="0" fontId="18" fillId="35" borderId="10" xfId="0" applyFont="1" applyFill="1" applyBorder="1" applyAlignment="1">
      <alignment horizontal="center" vertical="center"/>
    </xf>
    <xf numFmtId="0" fontId="19" fillId="36" borderId="0" xfId="0" applyFont="1" applyFill="1" applyAlignment="1">
      <alignment horizontal="center" vertical="center"/>
    </xf>
    <xf numFmtId="0" fontId="21" fillId="35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2" fillId="40" borderId="17" xfId="0" applyFont="1" applyFill="1" applyBorder="1" applyAlignment="1">
      <alignment horizontal="center" vertical="center" wrapText="1"/>
    </xf>
    <xf numFmtId="0" fontId="22" fillId="40" borderId="15" xfId="0" applyFont="1" applyFill="1" applyBorder="1" applyAlignment="1">
      <alignment horizontal="center" vertical="center" wrapText="1"/>
    </xf>
    <xf numFmtId="0" fontId="22" fillId="40" borderId="16" xfId="0" applyFont="1" applyFill="1" applyBorder="1" applyAlignment="1">
      <alignment horizontal="center" vertical="center" wrapText="1"/>
    </xf>
    <xf numFmtId="0" fontId="22" fillId="40" borderId="0" xfId="0" applyFont="1" applyFill="1" applyAlignment="1">
      <alignment horizontal="center" vertical="center" wrapText="1"/>
    </xf>
    <xf numFmtId="0" fontId="22" fillId="40" borderId="18" xfId="0" applyFont="1" applyFill="1" applyBorder="1" applyAlignment="1">
      <alignment horizontal="center" vertical="center" wrapText="1"/>
    </xf>
    <xf numFmtId="0" fontId="22" fillId="40" borderId="14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/>
    </xf>
    <xf numFmtId="0" fontId="18" fillId="35" borderId="15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8" fillId="35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4D75E-8D63-4AA2-8F0B-64276C9B0482}">
  <dimension ref="A1:O51"/>
  <sheetViews>
    <sheetView zoomScale="53" zoomScaleNormal="35" workbookViewId="0">
      <selection activeCell="N20" sqref="N20"/>
    </sheetView>
  </sheetViews>
  <sheetFormatPr defaultRowHeight="14.4" x14ac:dyDescent="0.3"/>
  <cols>
    <col min="1" max="1" width="10.44140625" bestFit="1" customWidth="1"/>
    <col min="2" max="2" width="16.5546875" bestFit="1" customWidth="1"/>
    <col min="3" max="3" width="7.109375" bestFit="1" customWidth="1"/>
    <col min="4" max="4" width="15.109375" bestFit="1" customWidth="1"/>
    <col min="5" max="6" width="14.33203125" bestFit="1" customWidth="1"/>
    <col min="9" max="9" width="15.33203125" bestFit="1" customWidth="1"/>
    <col min="10" max="10" width="16.33203125" bestFit="1" customWidth="1"/>
    <col min="11" max="11" width="15.109375" bestFit="1" customWidth="1"/>
    <col min="12" max="12" width="16.33203125" bestFit="1" customWidth="1"/>
    <col min="13" max="13" width="12.6640625" bestFit="1" customWidth="1"/>
  </cols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6" t="s">
        <v>160</v>
      </c>
      <c r="I1" s="3" t="s">
        <v>0</v>
      </c>
      <c r="J1" s="5" t="s">
        <v>39</v>
      </c>
      <c r="K1" s="28" t="s">
        <v>164</v>
      </c>
      <c r="L1" s="28"/>
      <c r="M1" s="28"/>
    </row>
    <row r="2" spans="1:13" x14ac:dyDescent="0.3">
      <c r="A2" t="s">
        <v>6</v>
      </c>
      <c r="B2" t="s">
        <v>110</v>
      </c>
      <c r="C2" t="s">
        <v>7</v>
      </c>
      <c r="D2">
        <v>9788126975</v>
      </c>
      <c r="E2" t="s">
        <v>8</v>
      </c>
      <c r="F2" s="1">
        <v>45712</v>
      </c>
      <c r="G2">
        <v>40000</v>
      </c>
      <c r="I2" s="3" t="s">
        <v>1</v>
      </c>
      <c r="J2" s="5"/>
      <c r="K2" s="28"/>
      <c r="L2" s="28"/>
      <c r="M2" s="28"/>
    </row>
    <row r="3" spans="1:13" x14ac:dyDescent="0.3">
      <c r="A3" t="s">
        <v>9</v>
      </c>
      <c r="B3" t="s">
        <v>111</v>
      </c>
      <c r="C3" t="s">
        <v>10</v>
      </c>
      <c r="D3">
        <v>9748353963</v>
      </c>
      <c r="E3" t="s">
        <v>11</v>
      </c>
      <c r="F3" s="1">
        <v>44615</v>
      </c>
      <c r="G3">
        <v>60000</v>
      </c>
      <c r="I3" s="3" t="s">
        <v>2</v>
      </c>
      <c r="J3" s="5"/>
      <c r="K3" s="28"/>
      <c r="L3" s="28"/>
      <c r="M3" s="28"/>
    </row>
    <row r="4" spans="1:13" x14ac:dyDescent="0.3">
      <c r="A4" t="s">
        <v>12</v>
      </c>
      <c r="B4" t="s">
        <v>112</v>
      </c>
      <c r="C4" t="s">
        <v>13</v>
      </c>
      <c r="D4">
        <v>9516005884</v>
      </c>
      <c r="E4" t="s">
        <v>14</v>
      </c>
      <c r="F4" s="1">
        <v>45868</v>
      </c>
      <c r="G4">
        <v>30000</v>
      </c>
      <c r="I4" s="3" t="s">
        <v>3</v>
      </c>
      <c r="J4" s="5"/>
      <c r="K4" s="28"/>
      <c r="L4" s="28"/>
      <c r="M4" s="28"/>
    </row>
    <row r="5" spans="1:13" x14ac:dyDescent="0.3">
      <c r="A5" t="s">
        <v>15</v>
      </c>
      <c r="B5" t="s">
        <v>113</v>
      </c>
      <c r="C5" t="s">
        <v>16</v>
      </c>
      <c r="D5">
        <v>9795546501</v>
      </c>
      <c r="E5" t="s">
        <v>17</v>
      </c>
      <c r="F5" s="1">
        <v>44772</v>
      </c>
      <c r="G5">
        <v>35000</v>
      </c>
      <c r="I5" s="3" t="s">
        <v>4</v>
      </c>
      <c r="J5" s="5"/>
      <c r="K5" s="28"/>
      <c r="L5" s="28"/>
      <c r="M5" s="28"/>
    </row>
    <row r="6" spans="1:13" x14ac:dyDescent="0.3">
      <c r="A6" t="s">
        <v>18</v>
      </c>
      <c r="B6" t="s">
        <v>114</v>
      </c>
      <c r="C6" t="s">
        <v>19</v>
      </c>
      <c r="D6">
        <v>9451542063</v>
      </c>
      <c r="E6" t="s">
        <v>20</v>
      </c>
      <c r="F6" s="1">
        <v>44498</v>
      </c>
      <c r="G6">
        <v>35000</v>
      </c>
      <c r="I6" s="3" t="s">
        <v>5</v>
      </c>
      <c r="J6" s="5"/>
      <c r="K6" s="28"/>
      <c r="L6" s="28"/>
      <c r="M6" s="28"/>
    </row>
    <row r="7" spans="1:13" x14ac:dyDescent="0.3">
      <c r="A7" t="s">
        <v>21</v>
      </c>
      <c r="B7" t="s">
        <v>115</v>
      </c>
      <c r="C7" t="s">
        <v>22</v>
      </c>
      <c r="D7">
        <v>9679792345</v>
      </c>
      <c r="E7" t="s">
        <v>23</v>
      </c>
      <c r="F7" s="1">
        <v>44608</v>
      </c>
      <c r="G7">
        <v>40000</v>
      </c>
      <c r="I7" s="2"/>
      <c r="J7" s="4"/>
      <c r="K7" s="28"/>
      <c r="L7" s="28"/>
      <c r="M7" s="28"/>
    </row>
    <row r="8" spans="1:13" x14ac:dyDescent="0.3">
      <c r="A8" t="s">
        <v>24</v>
      </c>
      <c r="B8" t="s">
        <v>116</v>
      </c>
      <c r="C8" t="s">
        <v>25</v>
      </c>
      <c r="D8">
        <v>9101730949</v>
      </c>
      <c r="E8" t="s">
        <v>26</v>
      </c>
      <c r="F8" s="1">
        <v>45655</v>
      </c>
      <c r="G8">
        <v>20000</v>
      </c>
    </row>
    <row r="9" spans="1:13" x14ac:dyDescent="0.3">
      <c r="A9" t="s">
        <v>27</v>
      </c>
      <c r="B9" t="s">
        <v>117</v>
      </c>
      <c r="C9" t="s">
        <v>16</v>
      </c>
      <c r="D9">
        <v>9539789822</v>
      </c>
      <c r="E9" t="s">
        <v>28</v>
      </c>
      <c r="F9" s="1">
        <v>45841</v>
      </c>
      <c r="G9">
        <v>35000</v>
      </c>
    </row>
    <row r="10" spans="1:13" x14ac:dyDescent="0.3">
      <c r="A10" t="s">
        <v>29</v>
      </c>
      <c r="B10" t="s">
        <v>118</v>
      </c>
      <c r="C10" t="s">
        <v>10</v>
      </c>
      <c r="D10">
        <v>9171105243</v>
      </c>
      <c r="E10" t="s">
        <v>30</v>
      </c>
      <c r="F10" s="1">
        <v>45671</v>
      </c>
      <c r="G10">
        <v>60000</v>
      </c>
      <c r="I10" s="7" t="s">
        <v>0</v>
      </c>
      <c r="J10" s="7" t="s">
        <v>163</v>
      </c>
      <c r="K10" s="7" t="s">
        <v>2</v>
      </c>
      <c r="L10" s="7" t="s">
        <v>161</v>
      </c>
      <c r="M10" s="7" t="s">
        <v>162</v>
      </c>
    </row>
    <row r="11" spans="1:13" x14ac:dyDescent="0.3">
      <c r="A11" t="s">
        <v>31</v>
      </c>
      <c r="B11" t="s">
        <v>119</v>
      </c>
      <c r="C11" t="s">
        <v>16</v>
      </c>
      <c r="D11">
        <v>9517271776</v>
      </c>
      <c r="E11" t="s">
        <v>32</v>
      </c>
      <c r="F11" s="1">
        <v>45683</v>
      </c>
      <c r="G11">
        <v>35000</v>
      </c>
      <c r="I11" s="5"/>
      <c r="J11" s="5" t="e">
        <f>VLOOKUP(I11,A:G,7,0)</f>
        <v>#N/A</v>
      </c>
      <c r="K11" s="5" t="e">
        <f>VLOOKUP(I11,A:G,3,0)</f>
        <v>#N/A</v>
      </c>
      <c r="L11" s="4">
        <f>COUNTIF(C1:C51,K11)</f>
        <v>0</v>
      </c>
      <c r="M11" s="4" t="e">
        <f>J11*L11</f>
        <v>#N/A</v>
      </c>
    </row>
    <row r="12" spans="1:13" x14ac:dyDescent="0.3">
      <c r="A12" t="s">
        <v>33</v>
      </c>
      <c r="B12" t="s">
        <v>120</v>
      </c>
      <c r="C12" t="s">
        <v>13</v>
      </c>
      <c r="D12">
        <v>9679490408</v>
      </c>
      <c r="E12" t="s">
        <v>34</v>
      </c>
      <c r="F12" s="1">
        <v>45132</v>
      </c>
      <c r="G12">
        <v>30000</v>
      </c>
    </row>
    <row r="13" spans="1:13" x14ac:dyDescent="0.3">
      <c r="A13" t="s">
        <v>35</v>
      </c>
      <c r="B13" t="s">
        <v>121</v>
      </c>
      <c r="C13" t="s">
        <v>13</v>
      </c>
      <c r="D13">
        <v>9401170233</v>
      </c>
      <c r="E13" t="s">
        <v>36</v>
      </c>
      <c r="F13" s="1">
        <v>45300</v>
      </c>
      <c r="G13">
        <v>30000</v>
      </c>
    </row>
    <row r="14" spans="1:13" x14ac:dyDescent="0.3">
      <c r="A14" t="s">
        <v>37</v>
      </c>
      <c r="B14" t="s">
        <v>122</v>
      </c>
      <c r="C14" t="s">
        <v>7</v>
      </c>
      <c r="D14">
        <v>9848091371</v>
      </c>
      <c r="E14" t="s">
        <v>38</v>
      </c>
      <c r="F14" s="1">
        <v>44563</v>
      </c>
      <c r="G14">
        <v>40000</v>
      </c>
    </row>
    <row r="15" spans="1:13" x14ac:dyDescent="0.3">
      <c r="A15" t="s">
        <v>39</v>
      </c>
      <c r="B15" t="s">
        <v>123</v>
      </c>
      <c r="C15" t="s">
        <v>10</v>
      </c>
      <c r="D15">
        <v>9328999533</v>
      </c>
      <c r="E15" t="s">
        <v>40</v>
      </c>
      <c r="F15" s="1">
        <v>45702</v>
      </c>
      <c r="G15">
        <v>60000</v>
      </c>
      <c r="I15" s="7"/>
      <c r="J15" s="7"/>
      <c r="K15" s="7"/>
      <c r="L15" s="7"/>
    </row>
    <row r="16" spans="1:13" x14ac:dyDescent="0.3">
      <c r="A16" t="s">
        <v>41</v>
      </c>
      <c r="B16" t="s">
        <v>124</v>
      </c>
      <c r="C16" t="s">
        <v>19</v>
      </c>
      <c r="D16">
        <v>9561146827</v>
      </c>
      <c r="E16" t="s">
        <v>14</v>
      </c>
      <c r="F16" s="1">
        <v>45359</v>
      </c>
      <c r="G16">
        <v>35000</v>
      </c>
      <c r="I16" s="5"/>
      <c r="J16" s="5"/>
      <c r="K16" s="4"/>
      <c r="L16" s="8"/>
    </row>
    <row r="17" spans="1:15" x14ac:dyDescent="0.3">
      <c r="A17" t="s">
        <v>42</v>
      </c>
      <c r="B17" t="s">
        <v>125</v>
      </c>
      <c r="C17" t="s">
        <v>10</v>
      </c>
      <c r="D17">
        <v>9294102760</v>
      </c>
      <c r="E17" t="s">
        <v>43</v>
      </c>
      <c r="F17" s="1">
        <v>44441</v>
      </c>
      <c r="G17">
        <v>60000</v>
      </c>
    </row>
    <row r="18" spans="1:15" x14ac:dyDescent="0.3">
      <c r="A18" t="s">
        <v>44</v>
      </c>
      <c r="B18" t="s">
        <v>126</v>
      </c>
      <c r="C18" t="s">
        <v>7</v>
      </c>
      <c r="D18">
        <v>9518520918</v>
      </c>
      <c r="E18" t="s">
        <v>45</v>
      </c>
      <c r="F18" s="1">
        <v>45601</v>
      </c>
      <c r="G18">
        <v>40000</v>
      </c>
    </row>
    <row r="19" spans="1:15" x14ac:dyDescent="0.3">
      <c r="A19" t="s">
        <v>46</v>
      </c>
      <c r="B19" t="s">
        <v>127</v>
      </c>
      <c r="C19" t="s">
        <v>10</v>
      </c>
      <c r="D19">
        <v>9919828491</v>
      </c>
      <c r="E19" t="s">
        <v>47</v>
      </c>
      <c r="F19" s="1">
        <v>45043</v>
      </c>
      <c r="G19">
        <v>60000</v>
      </c>
      <c r="I19" s="29" t="s">
        <v>206</v>
      </c>
      <c r="J19" s="29"/>
      <c r="K19" s="29"/>
      <c r="L19" s="29"/>
    </row>
    <row r="20" spans="1:15" x14ac:dyDescent="0.3">
      <c r="A20" t="s">
        <v>48</v>
      </c>
      <c r="B20" t="s">
        <v>128</v>
      </c>
      <c r="C20" t="s">
        <v>25</v>
      </c>
      <c r="D20">
        <v>9633487038</v>
      </c>
      <c r="E20" t="s">
        <v>49</v>
      </c>
      <c r="F20" s="1">
        <v>45174</v>
      </c>
      <c r="G20">
        <v>20000</v>
      </c>
      <c r="I20" s="29"/>
      <c r="J20" s="29"/>
      <c r="K20" s="29"/>
      <c r="L20" s="29"/>
    </row>
    <row r="21" spans="1:15" x14ac:dyDescent="0.3">
      <c r="A21" t="s">
        <v>50</v>
      </c>
      <c r="B21" t="s">
        <v>129</v>
      </c>
      <c r="C21" t="s">
        <v>25</v>
      </c>
      <c r="D21">
        <v>9164750018</v>
      </c>
      <c r="E21" t="s">
        <v>51</v>
      </c>
      <c r="F21" s="1">
        <v>45460</v>
      </c>
      <c r="G21">
        <v>20000</v>
      </c>
      <c r="I21" s="29"/>
      <c r="J21" s="29"/>
      <c r="K21" s="29"/>
      <c r="L21" s="29"/>
    </row>
    <row r="22" spans="1:15" x14ac:dyDescent="0.3">
      <c r="A22" t="s">
        <v>52</v>
      </c>
      <c r="B22" t="s">
        <v>130</v>
      </c>
      <c r="C22" t="s">
        <v>22</v>
      </c>
      <c r="D22">
        <v>9663892548</v>
      </c>
      <c r="E22" t="s">
        <v>53</v>
      </c>
      <c r="F22" s="1">
        <v>45434</v>
      </c>
      <c r="G22">
        <v>40000</v>
      </c>
      <c r="I22" s="4" t="s">
        <v>6</v>
      </c>
      <c r="J22" s="4"/>
      <c r="K22" s="4"/>
      <c r="L22" s="4"/>
      <c r="M22" s="4"/>
      <c r="N22" s="4"/>
      <c r="O22" s="4"/>
    </row>
    <row r="23" spans="1:15" x14ac:dyDescent="0.3">
      <c r="A23" t="s">
        <v>54</v>
      </c>
      <c r="B23" t="s">
        <v>131</v>
      </c>
      <c r="C23" t="s">
        <v>13</v>
      </c>
      <c r="D23">
        <v>9260019037</v>
      </c>
      <c r="E23" t="s">
        <v>55</v>
      </c>
      <c r="F23" s="1">
        <v>45508</v>
      </c>
      <c r="G23">
        <v>30000</v>
      </c>
      <c r="I23" s="4"/>
      <c r="J23" s="4"/>
      <c r="K23" s="4"/>
      <c r="L23" s="4"/>
      <c r="M23" s="4"/>
      <c r="N23" s="4"/>
      <c r="O23" s="4"/>
    </row>
    <row r="24" spans="1:15" x14ac:dyDescent="0.3">
      <c r="A24" t="s">
        <v>56</v>
      </c>
      <c r="B24" t="s">
        <v>132</v>
      </c>
      <c r="C24" t="s">
        <v>25</v>
      </c>
      <c r="D24">
        <v>9792433898</v>
      </c>
      <c r="E24" t="s">
        <v>57</v>
      </c>
      <c r="F24" s="1">
        <v>44451</v>
      </c>
      <c r="G24">
        <v>20000</v>
      </c>
    </row>
    <row r="25" spans="1:15" x14ac:dyDescent="0.3">
      <c r="A25" t="s">
        <v>58</v>
      </c>
      <c r="B25" t="s">
        <v>133</v>
      </c>
      <c r="C25" t="s">
        <v>19</v>
      </c>
      <c r="D25">
        <v>9632036960</v>
      </c>
      <c r="E25" t="s">
        <v>59</v>
      </c>
      <c r="F25" s="1">
        <v>44602</v>
      </c>
      <c r="G25">
        <v>35000</v>
      </c>
      <c r="I25" s="29" t="s">
        <v>165</v>
      </c>
      <c r="J25" s="29"/>
      <c r="K25" s="29"/>
      <c r="L25" s="29"/>
    </row>
    <row r="26" spans="1:15" x14ac:dyDescent="0.3">
      <c r="A26" t="s">
        <v>60</v>
      </c>
      <c r="B26" t="s">
        <v>134</v>
      </c>
      <c r="C26" t="s">
        <v>16</v>
      </c>
      <c r="D26">
        <v>9176041674</v>
      </c>
      <c r="E26" t="s">
        <v>61</v>
      </c>
      <c r="F26" s="1">
        <v>44538</v>
      </c>
      <c r="G26">
        <v>35000</v>
      </c>
      <c r="I26" s="29"/>
      <c r="J26" s="29"/>
      <c r="K26" s="29"/>
      <c r="L26" s="29"/>
    </row>
    <row r="27" spans="1:15" x14ac:dyDescent="0.3">
      <c r="A27" t="s">
        <v>62</v>
      </c>
      <c r="B27" t="s">
        <v>135</v>
      </c>
      <c r="C27" t="s">
        <v>13</v>
      </c>
      <c r="D27">
        <v>9282481138</v>
      </c>
      <c r="E27" t="s">
        <v>63</v>
      </c>
      <c r="F27" s="1">
        <v>44465</v>
      </c>
      <c r="G27">
        <v>30000</v>
      </c>
    </row>
    <row r="28" spans="1:15" x14ac:dyDescent="0.3">
      <c r="A28" t="s">
        <v>64</v>
      </c>
      <c r="B28" t="s">
        <v>136</v>
      </c>
      <c r="C28" t="s">
        <v>19</v>
      </c>
      <c r="D28">
        <v>9570908121</v>
      </c>
      <c r="E28" t="s">
        <v>65</v>
      </c>
      <c r="F28" s="1">
        <v>45624</v>
      </c>
      <c r="G28">
        <v>35000</v>
      </c>
      <c r="I28" s="3" t="s">
        <v>0</v>
      </c>
      <c r="J28" s="5" t="s">
        <v>62</v>
      </c>
    </row>
    <row r="29" spans="1:15" x14ac:dyDescent="0.3">
      <c r="A29" t="s">
        <v>66</v>
      </c>
      <c r="B29" t="s">
        <v>137</v>
      </c>
      <c r="C29" t="s">
        <v>13</v>
      </c>
      <c r="D29">
        <v>9412624617</v>
      </c>
      <c r="E29" t="s">
        <v>67</v>
      </c>
      <c r="F29" s="1">
        <v>44791</v>
      </c>
      <c r="G29">
        <v>30000</v>
      </c>
      <c r="I29" s="3" t="s">
        <v>1</v>
      </c>
      <c r="J29" s="5"/>
    </row>
    <row r="30" spans="1:15" x14ac:dyDescent="0.3">
      <c r="A30" t="s">
        <v>68</v>
      </c>
      <c r="B30" t="s">
        <v>138</v>
      </c>
      <c r="C30" t="s">
        <v>16</v>
      </c>
      <c r="D30">
        <v>9291667330</v>
      </c>
      <c r="E30" t="s">
        <v>69</v>
      </c>
      <c r="F30" s="1">
        <v>44600</v>
      </c>
      <c r="G30">
        <v>35000</v>
      </c>
      <c r="I30" s="3" t="s">
        <v>2</v>
      </c>
      <c r="J30" s="5"/>
    </row>
    <row r="31" spans="1:15" x14ac:dyDescent="0.3">
      <c r="A31" t="s">
        <v>70</v>
      </c>
      <c r="B31" t="s">
        <v>139</v>
      </c>
      <c r="C31" t="s">
        <v>25</v>
      </c>
      <c r="D31">
        <v>9129955094</v>
      </c>
      <c r="E31" t="s">
        <v>71</v>
      </c>
      <c r="F31" s="1">
        <v>45005</v>
      </c>
      <c r="G31">
        <v>20000</v>
      </c>
      <c r="I31" s="3" t="s">
        <v>3</v>
      </c>
      <c r="J31" s="5"/>
    </row>
    <row r="32" spans="1:15" x14ac:dyDescent="0.3">
      <c r="A32" t="s">
        <v>72</v>
      </c>
      <c r="B32" t="s">
        <v>140</v>
      </c>
      <c r="C32" t="s">
        <v>10</v>
      </c>
      <c r="D32">
        <v>9926585852</v>
      </c>
      <c r="E32" t="s">
        <v>73</v>
      </c>
      <c r="F32" s="1">
        <v>45425</v>
      </c>
      <c r="G32">
        <v>60000</v>
      </c>
      <c r="I32" s="3" t="s">
        <v>4</v>
      </c>
      <c r="J32" s="5"/>
    </row>
    <row r="33" spans="1:12" x14ac:dyDescent="0.3">
      <c r="A33" t="s">
        <v>74</v>
      </c>
      <c r="B33" t="s">
        <v>141</v>
      </c>
      <c r="C33" t="s">
        <v>10</v>
      </c>
      <c r="D33">
        <v>9326490477</v>
      </c>
      <c r="E33" t="s">
        <v>75</v>
      </c>
      <c r="F33" s="1">
        <v>45089</v>
      </c>
      <c r="G33">
        <v>60000</v>
      </c>
      <c r="I33" s="3" t="s">
        <v>5</v>
      </c>
      <c r="J33" s="5"/>
      <c r="K33" s="1"/>
      <c r="L33" s="1"/>
    </row>
    <row r="34" spans="1:12" x14ac:dyDescent="0.3">
      <c r="A34" t="s">
        <v>76</v>
      </c>
      <c r="B34" t="s">
        <v>142</v>
      </c>
      <c r="C34" t="s">
        <v>19</v>
      </c>
      <c r="D34">
        <v>9217985884</v>
      </c>
      <c r="E34" t="s">
        <v>77</v>
      </c>
      <c r="F34" s="1">
        <v>44429</v>
      </c>
      <c r="G34">
        <v>35000</v>
      </c>
    </row>
    <row r="35" spans="1:12" x14ac:dyDescent="0.3">
      <c r="A35" t="s">
        <v>78</v>
      </c>
      <c r="B35" t="s">
        <v>143</v>
      </c>
      <c r="C35" t="s">
        <v>10</v>
      </c>
      <c r="D35">
        <v>9178467084</v>
      </c>
      <c r="E35" t="s">
        <v>79</v>
      </c>
      <c r="F35" s="1">
        <v>45870</v>
      </c>
      <c r="G35">
        <v>60000</v>
      </c>
    </row>
    <row r="36" spans="1:12" x14ac:dyDescent="0.3">
      <c r="A36" t="s">
        <v>80</v>
      </c>
      <c r="B36" t="s">
        <v>144</v>
      </c>
      <c r="C36" t="s">
        <v>13</v>
      </c>
      <c r="D36">
        <v>9910566265</v>
      </c>
      <c r="E36" t="s">
        <v>53</v>
      </c>
      <c r="F36" s="1">
        <v>45750</v>
      </c>
      <c r="G36">
        <v>30000</v>
      </c>
    </row>
    <row r="37" spans="1:12" x14ac:dyDescent="0.3">
      <c r="A37" t="s">
        <v>81</v>
      </c>
      <c r="B37" t="s">
        <v>145</v>
      </c>
      <c r="C37" t="s">
        <v>13</v>
      </c>
      <c r="D37">
        <v>9973422461</v>
      </c>
      <c r="E37" t="s">
        <v>82</v>
      </c>
      <c r="F37" s="1">
        <v>44744</v>
      </c>
      <c r="G37">
        <v>30000</v>
      </c>
    </row>
    <row r="38" spans="1:12" x14ac:dyDescent="0.3">
      <c r="A38" t="s">
        <v>83</v>
      </c>
      <c r="B38" t="s">
        <v>146</v>
      </c>
      <c r="C38" t="s">
        <v>13</v>
      </c>
      <c r="D38">
        <v>9885221132</v>
      </c>
      <c r="E38" t="s">
        <v>84</v>
      </c>
      <c r="F38" s="1">
        <v>44679</v>
      </c>
      <c r="G38">
        <v>30000</v>
      </c>
    </row>
    <row r="39" spans="1:12" x14ac:dyDescent="0.3">
      <c r="A39" t="s">
        <v>85</v>
      </c>
      <c r="B39" t="s">
        <v>147</v>
      </c>
      <c r="C39" t="s">
        <v>7</v>
      </c>
      <c r="D39">
        <v>9636539608</v>
      </c>
      <c r="E39" t="s">
        <v>86</v>
      </c>
      <c r="F39" s="1">
        <v>45842</v>
      </c>
      <c r="G39">
        <v>40000</v>
      </c>
    </row>
    <row r="40" spans="1:12" x14ac:dyDescent="0.3">
      <c r="A40" t="s">
        <v>87</v>
      </c>
      <c r="B40" t="s">
        <v>148</v>
      </c>
      <c r="C40" t="s">
        <v>16</v>
      </c>
      <c r="D40">
        <v>9622967132</v>
      </c>
      <c r="E40" t="s">
        <v>88</v>
      </c>
      <c r="F40" s="1">
        <v>45098</v>
      </c>
      <c r="G40">
        <v>35000</v>
      </c>
    </row>
    <row r="41" spans="1:12" x14ac:dyDescent="0.3">
      <c r="A41" t="s">
        <v>89</v>
      </c>
      <c r="B41" t="s">
        <v>149</v>
      </c>
      <c r="C41" t="s">
        <v>22</v>
      </c>
      <c r="D41">
        <v>9741001897</v>
      </c>
      <c r="E41" t="s">
        <v>90</v>
      </c>
      <c r="F41" s="1">
        <v>45351</v>
      </c>
      <c r="G41">
        <v>40000</v>
      </c>
    </row>
    <row r="42" spans="1:12" x14ac:dyDescent="0.3">
      <c r="A42" t="s">
        <v>91</v>
      </c>
      <c r="B42" t="s">
        <v>150</v>
      </c>
      <c r="C42" t="s">
        <v>25</v>
      </c>
      <c r="D42">
        <v>9206814793</v>
      </c>
      <c r="E42" t="s">
        <v>92</v>
      </c>
      <c r="F42" s="1">
        <v>45723</v>
      </c>
      <c r="G42">
        <v>20000</v>
      </c>
    </row>
    <row r="43" spans="1:12" x14ac:dyDescent="0.3">
      <c r="A43" t="s">
        <v>93</v>
      </c>
      <c r="B43" t="s">
        <v>151</v>
      </c>
      <c r="C43" t="s">
        <v>19</v>
      </c>
      <c r="D43">
        <v>9521831148</v>
      </c>
      <c r="E43" t="s">
        <v>94</v>
      </c>
      <c r="F43" s="1">
        <v>45604</v>
      </c>
      <c r="G43">
        <v>35000</v>
      </c>
    </row>
    <row r="44" spans="1:12" x14ac:dyDescent="0.3">
      <c r="A44" t="s">
        <v>95</v>
      </c>
      <c r="B44" t="s">
        <v>152</v>
      </c>
      <c r="C44" t="s">
        <v>16</v>
      </c>
      <c r="D44">
        <v>9641199476</v>
      </c>
      <c r="E44" t="s">
        <v>96</v>
      </c>
      <c r="F44" s="1">
        <v>45219</v>
      </c>
      <c r="G44">
        <v>35000</v>
      </c>
    </row>
    <row r="45" spans="1:12" x14ac:dyDescent="0.3">
      <c r="A45" t="s">
        <v>97</v>
      </c>
      <c r="B45" t="s">
        <v>153</v>
      </c>
      <c r="C45" t="s">
        <v>19</v>
      </c>
      <c r="D45">
        <v>9118975109</v>
      </c>
      <c r="E45" t="s">
        <v>98</v>
      </c>
      <c r="F45" s="1">
        <v>44678</v>
      </c>
      <c r="G45">
        <v>35000</v>
      </c>
    </row>
    <row r="46" spans="1:12" x14ac:dyDescent="0.3">
      <c r="A46" t="s">
        <v>99</v>
      </c>
      <c r="B46" t="s">
        <v>154</v>
      </c>
      <c r="C46" t="s">
        <v>25</v>
      </c>
      <c r="D46">
        <v>9760766471</v>
      </c>
      <c r="E46" t="s">
        <v>100</v>
      </c>
      <c r="F46" s="1">
        <v>45117</v>
      </c>
      <c r="G46">
        <v>20000</v>
      </c>
    </row>
    <row r="47" spans="1:12" x14ac:dyDescent="0.3">
      <c r="A47" t="s">
        <v>101</v>
      </c>
      <c r="B47" t="s">
        <v>155</v>
      </c>
      <c r="C47" t="s">
        <v>16</v>
      </c>
      <c r="D47">
        <v>9198573825</v>
      </c>
      <c r="E47" t="s">
        <v>102</v>
      </c>
      <c r="F47" s="1">
        <v>44663</v>
      </c>
      <c r="G47">
        <v>35000</v>
      </c>
    </row>
    <row r="48" spans="1:12" x14ac:dyDescent="0.3">
      <c r="A48" t="s">
        <v>103</v>
      </c>
      <c r="B48" t="s">
        <v>156</v>
      </c>
      <c r="C48" t="s">
        <v>19</v>
      </c>
      <c r="D48">
        <v>9476829499</v>
      </c>
      <c r="E48" t="s">
        <v>104</v>
      </c>
      <c r="F48" s="1">
        <v>44555</v>
      </c>
      <c r="G48">
        <v>35000</v>
      </c>
    </row>
    <row r="49" spans="1:7" x14ac:dyDescent="0.3">
      <c r="A49" t="s">
        <v>105</v>
      </c>
      <c r="B49" t="s">
        <v>157</v>
      </c>
      <c r="C49" t="s">
        <v>7</v>
      </c>
      <c r="D49">
        <v>9442260459</v>
      </c>
      <c r="E49" t="s">
        <v>53</v>
      </c>
      <c r="F49" s="1">
        <v>45484</v>
      </c>
      <c r="G49">
        <v>40000</v>
      </c>
    </row>
    <row r="50" spans="1:7" x14ac:dyDescent="0.3">
      <c r="A50" t="s">
        <v>106</v>
      </c>
      <c r="B50" t="s">
        <v>158</v>
      </c>
      <c r="C50" t="s">
        <v>25</v>
      </c>
      <c r="D50">
        <v>9351199484</v>
      </c>
      <c r="E50" t="s">
        <v>107</v>
      </c>
      <c r="F50" s="1">
        <v>44463</v>
      </c>
      <c r="G50">
        <v>20000</v>
      </c>
    </row>
    <row r="51" spans="1:7" x14ac:dyDescent="0.3">
      <c r="A51" t="s">
        <v>108</v>
      </c>
      <c r="B51" t="s">
        <v>159</v>
      </c>
      <c r="C51" t="s">
        <v>10</v>
      </c>
      <c r="D51">
        <v>9134637306</v>
      </c>
      <c r="E51" t="s">
        <v>109</v>
      </c>
      <c r="F51" s="1">
        <v>45195</v>
      </c>
      <c r="G51">
        <v>60000</v>
      </c>
    </row>
  </sheetData>
  <mergeCells count="3">
    <mergeCell ref="K1:M7"/>
    <mergeCell ref="I19:L21"/>
    <mergeCell ref="I25:L2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45CB-745B-489E-82AC-F428224A232D}">
  <dimension ref="A1:N51"/>
  <sheetViews>
    <sheetView zoomScale="71" workbookViewId="0">
      <selection activeCell="N7" sqref="N7"/>
    </sheetView>
  </sheetViews>
  <sheetFormatPr defaultRowHeight="14.4" x14ac:dyDescent="0.3"/>
  <cols>
    <col min="4" max="4" width="12" bestFit="1" customWidth="1"/>
    <col min="6" max="6" width="15.6640625" bestFit="1" customWidth="1"/>
    <col min="7" max="7" width="6.5546875" bestFit="1" customWidth="1"/>
    <col min="14" max="14" width="15.88671875" bestFit="1" customWidth="1"/>
  </cols>
  <sheetData>
    <row r="1" spans="1:14" x14ac:dyDescent="0.3">
      <c r="A1" s="3"/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6" t="s">
        <v>160</v>
      </c>
      <c r="H1" s="3" t="s">
        <v>0</v>
      </c>
    </row>
    <row r="2" spans="1:14" x14ac:dyDescent="0.3">
      <c r="B2" t="s">
        <v>110</v>
      </c>
      <c r="C2" t="s">
        <v>7</v>
      </c>
      <c r="D2">
        <v>9788126975</v>
      </c>
      <c r="E2" t="s">
        <v>8</v>
      </c>
      <c r="F2" s="1">
        <v>45712</v>
      </c>
      <c r="G2">
        <v>40000</v>
      </c>
      <c r="H2" t="s">
        <v>6</v>
      </c>
    </row>
    <row r="3" spans="1:14" x14ac:dyDescent="0.3">
      <c r="B3" t="s">
        <v>111</v>
      </c>
      <c r="C3" t="s">
        <v>10</v>
      </c>
      <c r="D3">
        <v>9748353963</v>
      </c>
      <c r="E3" t="s">
        <v>11</v>
      </c>
      <c r="F3" s="1">
        <v>44615</v>
      </c>
      <c r="G3">
        <v>60000</v>
      </c>
      <c r="H3" t="s">
        <v>9</v>
      </c>
    </row>
    <row r="4" spans="1:14" x14ac:dyDescent="0.3">
      <c r="B4" t="s">
        <v>112</v>
      </c>
      <c r="C4" t="s">
        <v>13</v>
      </c>
      <c r="D4">
        <v>9516005884</v>
      </c>
      <c r="E4" t="s">
        <v>14</v>
      </c>
      <c r="F4" s="1">
        <v>45868</v>
      </c>
      <c r="G4">
        <v>30000</v>
      </c>
      <c r="H4" t="s">
        <v>12</v>
      </c>
    </row>
    <row r="5" spans="1:14" x14ac:dyDescent="0.3">
      <c r="B5" t="s">
        <v>113</v>
      </c>
      <c r="C5" t="s">
        <v>16</v>
      </c>
      <c r="D5">
        <v>9795546501</v>
      </c>
      <c r="E5" t="s">
        <v>17</v>
      </c>
      <c r="F5" s="1">
        <v>44772</v>
      </c>
      <c r="G5">
        <v>35000</v>
      </c>
      <c r="H5" t="s">
        <v>15</v>
      </c>
    </row>
    <row r="6" spans="1:14" x14ac:dyDescent="0.3">
      <c r="B6" t="s">
        <v>114</v>
      </c>
      <c r="C6" t="s">
        <v>19</v>
      </c>
      <c r="D6">
        <v>9451542063</v>
      </c>
      <c r="E6" t="s">
        <v>20</v>
      </c>
      <c r="F6" s="1">
        <v>44498</v>
      </c>
      <c r="G6">
        <v>35000</v>
      </c>
      <c r="H6" t="s">
        <v>18</v>
      </c>
    </row>
    <row r="7" spans="1:14" x14ac:dyDescent="0.3">
      <c r="B7" t="s">
        <v>115</v>
      </c>
      <c r="C7" t="s">
        <v>22</v>
      </c>
      <c r="D7">
        <v>9679792345</v>
      </c>
      <c r="E7" t="s">
        <v>23</v>
      </c>
      <c r="F7" s="1">
        <v>44608</v>
      </c>
      <c r="G7">
        <v>40000</v>
      </c>
      <c r="H7" t="s">
        <v>21</v>
      </c>
      <c r="N7" s="3" t="s">
        <v>0</v>
      </c>
    </row>
    <row r="8" spans="1:14" x14ac:dyDescent="0.3">
      <c r="B8" t="s">
        <v>116</v>
      </c>
      <c r="C8" t="s">
        <v>25</v>
      </c>
      <c r="D8">
        <v>9101730949</v>
      </c>
      <c r="E8" t="s">
        <v>26</v>
      </c>
      <c r="F8" s="1">
        <v>45655</v>
      </c>
      <c r="G8">
        <v>20000</v>
      </c>
      <c r="H8" t="s">
        <v>24</v>
      </c>
      <c r="N8" s="3" t="s">
        <v>1</v>
      </c>
    </row>
    <row r="9" spans="1:14" x14ac:dyDescent="0.3">
      <c r="B9" t="s">
        <v>117</v>
      </c>
      <c r="C9" t="s">
        <v>16</v>
      </c>
      <c r="D9">
        <v>9539789822</v>
      </c>
      <c r="E9" t="s">
        <v>28</v>
      </c>
      <c r="F9" s="1">
        <v>45841</v>
      </c>
      <c r="G9">
        <v>35000</v>
      </c>
      <c r="H9" t="s">
        <v>27</v>
      </c>
      <c r="N9" s="3" t="s">
        <v>2</v>
      </c>
    </row>
    <row r="10" spans="1:14" x14ac:dyDescent="0.3">
      <c r="B10" t="s">
        <v>118</v>
      </c>
      <c r="C10" t="s">
        <v>10</v>
      </c>
      <c r="D10">
        <v>9171105243</v>
      </c>
      <c r="E10" t="s">
        <v>30</v>
      </c>
      <c r="F10" s="1">
        <v>45671</v>
      </c>
      <c r="G10">
        <v>60000</v>
      </c>
      <c r="H10" t="s">
        <v>29</v>
      </c>
      <c r="N10" s="3" t="s">
        <v>3</v>
      </c>
    </row>
    <row r="11" spans="1:14" x14ac:dyDescent="0.3">
      <c r="B11" t="s">
        <v>119</v>
      </c>
      <c r="C11" t="s">
        <v>16</v>
      </c>
      <c r="D11">
        <v>9517271776</v>
      </c>
      <c r="E11" t="s">
        <v>32</v>
      </c>
      <c r="F11" s="1">
        <v>45683</v>
      </c>
      <c r="G11">
        <v>35000</v>
      </c>
      <c r="H11" t="s">
        <v>31</v>
      </c>
      <c r="N11" s="3" t="s">
        <v>4</v>
      </c>
    </row>
    <row r="12" spans="1:14" x14ac:dyDescent="0.3">
      <c r="B12" t="s">
        <v>120</v>
      </c>
      <c r="C12" t="s">
        <v>13</v>
      </c>
      <c r="D12">
        <v>9679490408</v>
      </c>
      <c r="E12" t="s">
        <v>34</v>
      </c>
      <c r="F12" s="1">
        <v>45132</v>
      </c>
      <c r="G12">
        <v>30000</v>
      </c>
      <c r="H12" t="s">
        <v>33</v>
      </c>
      <c r="N12" s="3" t="s">
        <v>5</v>
      </c>
    </row>
    <row r="13" spans="1:14" x14ac:dyDescent="0.3">
      <c r="B13" t="s">
        <v>121</v>
      </c>
      <c r="C13" t="s">
        <v>13</v>
      </c>
      <c r="D13">
        <v>9401170233</v>
      </c>
      <c r="E13" t="s">
        <v>36</v>
      </c>
      <c r="F13" s="1">
        <v>45300</v>
      </c>
      <c r="G13">
        <v>30000</v>
      </c>
      <c r="H13" t="s">
        <v>35</v>
      </c>
      <c r="N13" s="6" t="s">
        <v>160</v>
      </c>
    </row>
    <row r="14" spans="1:14" x14ac:dyDescent="0.3">
      <c r="B14" t="s">
        <v>122</v>
      </c>
      <c r="C14" t="s">
        <v>7</v>
      </c>
      <c r="D14">
        <v>9848091371</v>
      </c>
      <c r="E14" t="s">
        <v>38</v>
      </c>
      <c r="F14" s="1">
        <v>44563</v>
      </c>
      <c r="G14">
        <v>40000</v>
      </c>
      <c r="H14" t="s">
        <v>37</v>
      </c>
    </row>
    <row r="15" spans="1:14" x14ac:dyDescent="0.3">
      <c r="B15" t="s">
        <v>123</v>
      </c>
      <c r="C15" t="s">
        <v>10</v>
      </c>
      <c r="D15">
        <v>9328999533</v>
      </c>
      <c r="E15" t="s">
        <v>40</v>
      </c>
      <c r="F15" s="1">
        <v>45702</v>
      </c>
      <c r="G15">
        <v>60000</v>
      </c>
      <c r="H15" t="s">
        <v>39</v>
      </c>
    </row>
    <row r="16" spans="1:14" x14ac:dyDescent="0.3">
      <c r="B16" t="s">
        <v>124</v>
      </c>
      <c r="C16" t="s">
        <v>19</v>
      </c>
      <c r="D16">
        <v>9561146827</v>
      </c>
      <c r="E16" t="s">
        <v>14</v>
      </c>
      <c r="F16" s="1">
        <v>45359</v>
      </c>
      <c r="G16">
        <v>35000</v>
      </c>
      <c r="H16" t="s">
        <v>41</v>
      </c>
    </row>
    <row r="17" spans="2:8" x14ac:dyDescent="0.3">
      <c r="B17" t="s">
        <v>125</v>
      </c>
      <c r="C17" t="s">
        <v>10</v>
      </c>
      <c r="D17">
        <v>9294102760</v>
      </c>
      <c r="E17" t="s">
        <v>43</v>
      </c>
      <c r="F17" s="1">
        <v>44441</v>
      </c>
      <c r="G17">
        <v>60000</v>
      </c>
      <c r="H17" t="s">
        <v>42</v>
      </c>
    </row>
    <row r="18" spans="2:8" x14ac:dyDescent="0.3">
      <c r="B18" t="s">
        <v>126</v>
      </c>
      <c r="C18" t="s">
        <v>7</v>
      </c>
      <c r="D18">
        <v>9518520918</v>
      </c>
      <c r="E18" t="s">
        <v>45</v>
      </c>
      <c r="F18" s="1">
        <v>45601</v>
      </c>
      <c r="G18">
        <v>40000</v>
      </c>
      <c r="H18" t="s">
        <v>44</v>
      </c>
    </row>
    <row r="19" spans="2:8" x14ac:dyDescent="0.3">
      <c r="B19" t="s">
        <v>127</v>
      </c>
      <c r="C19" t="s">
        <v>10</v>
      </c>
      <c r="D19">
        <v>9919828491</v>
      </c>
      <c r="E19" t="s">
        <v>47</v>
      </c>
      <c r="F19" s="1">
        <v>45043</v>
      </c>
      <c r="G19">
        <v>60000</v>
      </c>
      <c r="H19" t="s">
        <v>46</v>
      </c>
    </row>
    <row r="20" spans="2:8" x14ac:dyDescent="0.3">
      <c r="B20" t="s">
        <v>128</v>
      </c>
      <c r="C20" t="s">
        <v>25</v>
      </c>
      <c r="D20">
        <v>9633487038</v>
      </c>
      <c r="E20" t="s">
        <v>49</v>
      </c>
      <c r="F20" s="1">
        <v>45174</v>
      </c>
      <c r="G20">
        <v>20000</v>
      </c>
      <c r="H20" t="s">
        <v>48</v>
      </c>
    </row>
    <row r="21" spans="2:8" x14ac:dyDescent="0.3">
      <c r="B21" t="s">
        <v>129</v>
      </c>
      <c r="C21" t="s">
        <v>25</v>
      </c>
      <c r="D21">
        <v>9164750018</v>
      </c>
      <c r="E21" t="s">
        <v>51</v>
      </c>
      <c r="F21" s="1">
        <v>45460</v>
      </c>
      <c r="G21">
        <v>20000</v>
      </c>
      <c r="H21" t="s">
        <v>50</v>
      </c>
    </row>
    <row r="22" spans="2:8" x14ac:dyDescent="0.3">
      <c r="B22" t="s">
        <v>130</v>
      </c>
      <c r="C22" t="s">
        <v>22</v>
      </c>
      <c r="D22">
        <v>9663892548</v>
      </c>
      <c r="E22" t="s">
        <v>53</v>
      </c>
      <c r="F22" s="1">
        <v>45434</v>
      </c>
      <c r="G22">
        <v>40000</v>
      </c>
      <c r="H22" t="s">
        <v>52</v>
      </c>
    </row>
    <row r="23" spans="2:8" x14ac:dyDescent="0.3">
      <c r="B23" t="s">
        <v>131</v>
      </c>
      <c r="C23" t="s">
        <v>13</v>
      </c>
      <c r="D23">
        <v>9260019037</v>
      </c>
      <c r="E23" t="s">
        <v>55</v>
      </c>
      <c r="F23" s="1">
        <v>45508</v>
      </c>
      <c r="G23">
        <v>30000</v>
      </c>
      <c r="H23" t="s">
        <v>54</v>
      </c>
    </row>
    <row r="24" spans="2:8" x14ac:dyDescent="0.3">
      <c r="B24" t="s">
        <v>132</v>
      </c>
      <c r="C24" t="s">
        <v>25</v>
      </c>
      <c r="D24">
        <v>9792433898</v>
      </c>
      <c r="E24" t="s">
        <v>57</v>
      </c>
      <c r="F24" s="1">
        <v>44451</v>
      </c>
      <c r="G24">
        <v>20000</v>
      </c>
      <c r="H24" t="s">
        <v>56</v>
      </c>
    </row>
    <row r="25" spans="2:8" x14ac:dyDescent="0.3">
      <c r="B25" t="s">
        <v>133</v>
      </c>
      <c r="C25" t="s">
        <v>19</v>
      </c>
      <c r="D25">
        <v>9632036960</v>
      </c>
      <c r="E25" t="s">
        <v>59</v>
      </c>
      <c r="F25" s="1">
        <v>44602</v>
      </c>
      <c r="G25">
        <v>35000</v>
      </c>
      <c r="H25" t="s">
        <v>58</v>
      </c>
    </row>
    <row r="26" spans="2:8" x14ac:dyDescent="0.3">
      <c r="B26" t="s">
        <v>134</v>
      </c>
      <c r="C26" t="s">
        <v>16</v>
      </c>
      <c r="D26">
        <v>9176041674</v>
      </c>
      <c r="E26" t="s">
        <v>61</v>
      </c>
      <c r="F26" s="1">
        <v>44538</v>
      </c>
      <c r="G26">
        <v>35000</v>
      </c>
      <c r="H26" t="s">
        <v>60</v>
      </c>
    </row>
    <row r="27" spans="2:8" x14ac:dyDescent="0.3">
      <c r="B27" t="s">
        <v>135</v>
      </c>
      <c r="C27" t="s">
        <v>13</v>
      </c>
      <c r="D27">
        <v>9282481138</v>
      </c>
      <c r="E27" t="s">
        <v>63</v>
      </c>
      <c r="F27" s="1">
        <v>44465</v>
      </c>
      <c r="G27">
        <v>30000</v>
      </c>
      <c r="H27" t="s">
        <v>62</v>
      </c>
    </row>
    <row r="28" spans="2:8" x14ac:dyDescent="0.3">
      <c r="B28" t="s">
        <v>136</v>
      </c>
      <c r="C28" t="s">
        <v>19</v>
      </c>
      <c r="D28">
        <v>9570908121</v>
      </c>
      <c r="E28" t="s">
        <v>65</v>
      </c>
      <c r="F28" s="1">
        <v>45624</v>
      </c>
      <c r="G28">
        <v>35000</v>
      </c>
      <c r="H28" t="s">
        <v>64</v>
      </c>
    </row>
    <row r="29" spans="2:8" x14ac:dyDescent="0.3">
      <c r="B29" t="s">
        <v>137</v>
      </c>
      <c r="C29" t="s">
        <v>13</v>
      </c>
      <c r="D29">
        <v>9412624617</v>
      </c>
      <c r="E29" t="s">
        <v>67</v>
      </c>
      <c r="F29" s="1">
        <v>44791</v>
      </c>
      <c r="G29">
        <v>30000</v>
      </c>
      <c r="H29" t="s">
        <v>66</v>
      </c>
    </row>
    <row r="30" spans="2:8" x14ac:dyDescent="0.3">
      <c r="B30" t="s">
        <v>138</v>
      </c>
      <c r="C30" t="s">
        <v>16</v>
      </c>
      <c r="D30">
        <v>9291667330</v>
      </c>
      <c r="E30" t="s">
        <v>69</v>
      </c>
      <c r="F30" s="1">
        <v>44600</v>
      </c>
      <c r="G30">
        <v>35000</v>
      </c>
      <c r="H30" t="s">
        <v>68</v>
      </c>
    </row>
    <row r="31" spans="2:8" x14ac:dyDescent="0.3">
      <c r="B31" t="s">
        <v>139</v>
      </c>
      <c r="C31" t="s">
        <v>25</v>
      </c>
      <c r="D31">
        <v>9129955094</v>
      </c>
      <c r="E31" t="s">
        <v>71</v>
      </c>
      <c r="F31" s="1">
        <v>45005</v>
      </c>
      <c r="G31">
        <v>20000</v>
      </c>
      <c r="H31" t="s">
        <v>70</v>
      </c>
    </row>
    <row r="32" spans="2:8" x14ac:dyDescent="0.3">
      <c r="B32" t="s">
        <v>140</v>
      </c>
      <c r="C32" t="s">
        <v>10</v>
      </c>
      <c r="D32">
        <v>9926585852</v>
      </c>
      <c r="E32" t="s">
        <v>73</v>
      </c>
      <c r="F32" s="1">
        <v>45425</v>
      </c>
      <c r="G32">
        <v>60000</v>
      </c>
      <c r="H32" t="s">
        <v>72</v>
      </c>
    </row>
    <row r="33" spans="2:8" x14ac:dyDescent="0.3">
      <c r="B33" t="s">
        <v>141</v>
      </c>
      <c r="C33" t="s">
        <v>10</v>
      </c>
      <c r="D33">
        <v>9326490477</v>
      </c>
      <c r="E33" t="s">
        <v>75</v>
      </c>
      <c r="F33" s="1">
        <v>45089</v>
      </c>
      <c r="G33">
        <v>60000</v>
      </c>
      <c r="H33" t="s">
        <v>74</v>
      </c>
    </row>
    <row r="34" spans="2:8" x14ac:dyDescent="0.3">
      <c r="B34" t="s">
        <v>142</v>
      </c>
      <c r="C34" t="s">
        <v>19</v>
      </c>
      <c r="D34">
        <v>9217985884</v>
      </c>
      <c r="E34" t="s">
        <v>77</v>
      </c>
      <c r="F34" s="1">
        <v>44429</v>
      </c>
      <c r="G34">
        <v>35000</v>
      </c>
      <c r="H34" t="s">
        <v>76</v>
      </c>
    </row>
    <row r="35" spans="2:8" x14ac:dyDescent="0.3">
      <c r="B35" t="s">
        <v>143</v>
      </c>
      <c r="C35" t="s">
        <v>10</v>
      </c>
      <c r="D35">
        <v>9178467084</v>
      </c>
      <c r="E35" t="s">
        <v>79</v>
      </c>
      <c r="F35" s="1">
        <v>45870</v>
      </c>
      <c r="G35">
        <v>60000</v>
      </c>
      <c r="H35" t="s">
        <v>78</v>
      </c>
    </row>
    <row r="36" spans="2:8" x14ac:dyDescent="0.3">
      <c r="B36" t="s">
        <v>144</v>
      </c>
      <c r="C36" t="s">
        <v>13</v>
      </c>
      <c r="D36">
        <v>9910566265</v>
      </c>
      <c r="E36" t="s">
        <v>53</v>
      </c>
      <c r="F36" s="1">
        <v>45750</v>
      </c>
      <c r="G36">
        <v>30000</v>
      </c>
      <c r="H36" t="s">
        <v>80</v>
      </c>
    </row>
    <row r="37" spans="2:8" x14ac:dyDescent="0.3">
      <c r="B37" t="s">
        <v>145</v>
      </c>
      <c r="C37" t="s">
        <v>13</v>
      </c>
      <c r="D37">
        <v>9973422461</v>
      </c>
      <c r="E37" t="s">
        <v>82</v>
      </c>
      <c r="F37" s="1">
        <v>44744</v>
      </c>
      <c r="G37">
        <v>30000</v>
      </c>
      <c r="H37" t="s">
        <v>81</v>
      </c>
    </row>
    <row r="38" spans="2:8" x14ac:dyDescent="0.3">
      <c r="B38" t="s">
        <v>146</v>
      </c>
      <c r="C38" t="s">
        <v>13</v>
      </c>
      <c r="D38">
        <v>9885221132</v>
      </c>
      <c r="E38" t="s">
        <v>84</v>
      </c>
      <c r="F38" s="1">
        <v>44679</v>
      </c>
      <c r="G38">
        <v>30000</v>
      </c>
      <c r="H38" t="s">
        <v>83</v>
      </c>
    </row>
    <row r="39" spans="2:8" x14ac:dyDescent="0.3">
      <c r="B39" t="s">
        <v>147</v>
      </c>
      <c r="C39" t="s">
        <v>7</v>
      </c>
      <c r="D39">
        <v>9636539608</v>
      </c>
      <c r="E39" t="s">
        <v>86</v>
      </c>
      <c r="F39" s="1">
        <v>45842</v>
      </c>
      <c r="G39">
        <v>40000</v>
      </c>
      <c r="H39" t="s">
        <v>85</v>
      </c>
    </row>
    <row r="40" spans="2:8" x14ac:dyDescent="0.3">
      <c r="B40" t="s">
        <v>148</v>
      </c>
      <c r="C40" t="s">
        <v>16</v>
      </c>
      <c r="D40">
        <v>9622967132</v>
      </c>
      <c r="E40" t="s">
        <v>88</v>
      </c>
      <c r="F40" s="1">
        <v>45098</v>
      </c>
      <c r="G40">
        <v>35000</v>
      </c>
      <c r="H40" t="s">
        <v>87</v>
      </c>
    </row>
    <row r="41" spans="2:8" x14ac:dyDescent="0.3">
      <c r="B41" t="s">
        <v>149</v>
      </c>
      <c r="C41" t="s">
        <v>22</v>
      </c>
      <c r="D41">
        <v>9741001897</v>
      </c>
      <c r="E41" t="s">
        <v>90</v>
      </c>
      <c r="F41" s="1">
        <v>45351</v>
      </c>
      <c r="G41">
        <v>40000</v>
      </c>
      <c r="H41" t="s">
        <v>89</v>
      </c>
    </row>
    <row r="42" spans="2:8" x14ac:dyDescent="0.3">
      <c r="B42" t="s">
        <v>150</v>
      </c>
      <c r="C42" t="s">
        <v>25</v>
      </c>
      <c r="D42">
        <v>9206814793</v>
      </c>
      <c r="E42" t="s">
        <v>92</v>
      </c>
      <c r="F42" s="1">
        <v>45723</v>
      </c>
      <c r="G42">
        <v>20000</v>
      </c>
      <c r="H42" t="s">
        <v>91</v>
      </c>
    </row>
    <row r="43" spans="2:8" x14ac:dyDescent="0.3">
      <c r="B43" t="s">
        <v>151</v>
      </c>
      <c r="C43" t="s">
        <v>19</v>
      </c>
      <c r="D43">
        <v>9521831148</v>
      </c>
      <c r="E43" t="s">
        <v>94</v>
      </c>
      <c r="F43" s="1">
        <v>45604</v>
      </c>
      <c r="G43">
        <v>35000</v>
      </c>
      <c r="H43" t="s">
        <v>93</v>
      </c>
    </row>
    <row r="44" spans="2:8" x14ac:dyDescent="0.3">
      <c r="B44" t="s">
        <v>152</v>
      </c>
      <c r="C44" t="s">
        <v>16</v>
      </c>
      <c r="D44">
        <v>9641199476</v>
      </c>
      <c r="E44" t="s">
        <v>96</v>
      </c>
      <c r="F44" s="1">
        <v>45219</v>
      </c>
      <c r="G44">
        <v>35000</v>
      </c>
      <c r="H44" t="s">
        <v>95</v>
      </c>
    </row>
    <row r="45" spans="2:8" x14ac:dyDescent="0.3">
      <c r="B45" t="s">
        <v>153</v>
      </c>
      <c r="C45" t="s">
        <v>19</v>
      </c>
      <c r="D45">
        <v>9118975109</v>
      </c>
      <c r="E45" t="s">
        <v>98</v>
      </c>
      <c r="F45" s="1">
        <v>44678</v>
      </c>
      <c r="G45">
        <v>35000</v>
      </c>
      <c r="H45" t="s">
        <v>97</v>
      </c>
    </row>
    <row r="46" spans="2:8" x14ac:dyDescent="0.3">
      <c r="B46" t="s">
        <v>154</v>
      </c>
      <c r="C46" t="s">
        <v>25</v>
      </c>
      <c r="D46">
        <v>9760766471</v>
      </c>
      <c r="E46" t="s">
        <v>100</v>
      </c>
      <c r="F46" s="1">
        <v>45117</v>
      </c>
      <c r="G46">
        <v>20000</v>
      </c>
      <c r="H46" t="s">
        <v>99</v>
      </c>
    </row>
    <row r="47" spans="2:8" x14ac:dyDescent="0.3">
      <c r="B47" t="s">
        <v>155</v>
      </c>
      <c r="C47" t="s">
        <v>16</v>
      </c>
      <c r="D47">
        <v>9198573825</v>
      </c>
      <c r="E47" t="s">
        <v>102</v>
      </c>
      <c r="F47" s="1">
        <v>44663</v>
      </c>
      <c r="G47">
        <v>35000</v>
      </c>
      <c r="H47" t="s">
        <v>101</v>
      </c>
    </row>
    <row r="48" spans="2:8" x14ac:dyDescent="0.3">
      <c r="B48" t="s">
        <v>156</v>
      </c>
      <c r="C48" t="s">
        <v>19</v>
      </c>
      <c r="D48">
        <v>9476829499</v>
      </c>
      <c r="E48" t="s">
        <v>104</v>
      </c>
      <c r="F48" s="1">
        <v>44555</v>
      </c>
      <c r="G48">
        <v>35000</v>
      </c>
      <c r="H48" t="s">
        <v>103</v>
      </c>
    </row>
    <row r="49" spans="2:8" x14ac:dyDescent="0.3">
      <c r="B49" t="s">
        <v>157</v>
      </c>
      <c r="C49" t="s">
        <v>7</v>
      </c>
      <c r="D49">
        <v>9442260459</v>
      </c>
      <c r="E49" t="s">
        <v>53</v>
      </c>
      <c r="F49" s="1">
        <v>45484</v>
      </c>
      <c r="G49">
        <v>40000</v>
      </c>
      <c r="H49" t="s">
        <v>105</v>
      </c>
    </row>
    <row r="50" spans="2:8" x14ac:dyDescent="0.3">
      <c r="B50" t="s">
        <v>158</v>
      </c>
      <c r="C50" t="s">
        <v>25</v>
      </c>
      <c r="D50">
        <v>9351199484</v>
      </c>
      <c r="E50" t="s">
        <v>107</v>
      </c>
      <c r="F50" s="1">
        <v>44463</v>
      </c>
      <c r="G50">
        <v>20000</v>
      </c>
      <c r="H50" t="s">
        <v>106</v>
      </c>
    </row>
    <row r="51" spans="2:8" x14ac:dyDescent="0.3">
      <c r="B51" t="s">
        <v>159</v>
      </c>
      <c r="C51" t="s">
        <v>10</v>
      </c>
      <c r="D51">
        <v>9134637306</v>
      </c>
      <c r="E51" t="s">
        <v>109</v>
      </c>
      <c r="F51" s="1">
        <v>45195</v>
      </c>
      <c r="G51">
        <v>60000</v>
      </c>
      <c r="H51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A07A5-5958-43B5-B6BF-091BF3430D33}">
  <dimension ref="A1:R15"/>
  <sheetViews>
    <sheetView zoomScale="157" workbookViewId="0">
      <selection activeCell="C10" sqref="C10:D15"/>
    </sheetView>
  </sheetViews>
  <sheetFormatPr defaultRowHeight="14.4" x14ac:dyDescent="0.3"/>
  <cols>
    <col min="1" max="1" width="14.88671875" bestFit="1" customWidth="1"/>
    <col min="2" max="2" width="12.33203125" bestFit="1" customWidth="1"/>
    <col min="3" max="3" width="15" bestFit="1" customWidth="1"/>
    <col min="4" max="4" width="13.44140625" bestFit="1" customWidth="1"/>
    <col min="5" max="5" width="11.44140625" bestFit="1" customWidth="1"/>
    <col min="6" max="7" width="11" bestFit="1" customWidth="1"/>
    <col min="8" max="8" width="13.33203125" bestFit="1" customWidth="1"/>
    <col min="9" max="9" width="11.44140625" bestFit="1" customWidth="1"/>
    <col min="10" max="10" width="12" bestFit="1" customWidth="1"/>
    <col min="11" max="11" width="13.33203125" bestFit="1" customWidth="1"/>
    <col min="12" max="12" width="11.44140625" bestFit="1" customWidth="1"/>
    <col min="13" max="13" width="12" bestFit="1" customWidth="1"/>
    <col min="14" max="14" width="11.33203125" bestFit="1" customWidth="1"/>
    <col min="15" max="15" width="12.33203125" bestFit="1" customWidth="1"/>
    <col min="16" max="16" width="13.88671875" bestFit="1" customWidth="1"/>
    <col min="17" max="17" width="13.33203125" bestFit="1" customWidth="1"/>
    <col min="18" max="18" width="14" bestFit="1" customWidth="1"/>
  </cols>
  <sheetData>
    <row r="1" spans="1:18" x14ac:dyDescent="0.3">
      <c r="A1" s="3" t="s">
        <v>0</v>
      </c>
      <c r="B1" s="5" t="s">
        <v>6</v>
      </c>
      <c r="C1" s="5" t="s">
        <v>9</v>
      </c>
      <c r="D1" s="5" t="s">
        <v>12</v>
      </c>
      <c r="E1" s="5" t="s">
        <v>15</v>
      </c>
      <c r="F1" s="5" t="s">
        <v>18</v>
      </c>
      <c r="G1" s="5" t="s">
        <v>21</v>
      </c>
      <c r="H1" s="5" t="s">
        <v>24</v>
      </c>
      <c r="I1" s="5" t="s">
        <v>27</v>
      </c>
      <c r="J1" s="5" t="s">
        <v>29</v>
      </c>
      <c r="K1" s="5" t="s">
        <v>31</v>
      </c>
      <c r="L1" s="5" t="s">
        <v>33</v>
      </c>
      <c r="M1" s="5" t="s">
        <v>35</v>
      </c>
      <c r="N1" s="5" t="s">
        <v>37</v>
      </c>
      <c r="O1" s="5" t="s">
        <v>39</v>
      </c>
      <c r="P1" s="5" t="s">
        <v>41</v>
      </c>
      <c r="Q1" s="5" t="s">
        <v>42</v>
      </c>
      <c r="R1" s="5" t="s">
        <v>44</v>
      </c>
    </row>
    <row r="2" spans="1:18" x14ac:dyDescent="0.3">
      <c r="A2" s="3" t="s">
        <v>1</v>
      </c>
      <c r="B2" s="5" t="s">
        <v>110</v>
      </c>
      <c r="C2" s="5" t="s">
        <v>111</v>
      </c>
      <c r="D2" s="5" t="s">
        <v>112</v>
      </c>
      <c r="E2" s="5" t="s">
        <v>113</v>
      </c>
      <c r="F2" s="5" t="s">
        <v>114</v>
      </c>
      <c r="G2" s="5" t="s">
        <v>115</v>
      </c>
      <c r="H2" s="5" t="s">
        <v>116</v>
      </c>
      <c r="I2" s="5" t="s">
        <v>117</v>
      </c>
      <c r="J2" s="5" t="s">
        <v>118</v>
      </c>
      <c r="K2" s="5" t="s">
        <v>119</v>
      </c>
      <c r="L2" s="5" t="s">
        <v>120</v>
      </c>
      <c r="M2" s="5" t="s">
        <v>121</v>
      </c>
      <c r="N2" s="5" t="s">
        <v>122</v>
      </c>
      <c r="O2" s="5" t="s">
        <v>123</v>
      </c>
      <c r="P2" s="5" t="s">
        <v>124</v>
      </c>
      <c r="Q2" s="5" t="s">
        <v>125</v>
      </c>
      <c r="R2" s="5" t="s">
        <v>126</v>
      </c>
    </row>
    <row r="3" spans="1:18" x14ac:dyDescent="0.3">
      <c r="A3" s="3" t="s">
        <v>2</v>
      </c>
      <c r="B3" s="5" t="s">
        <v>7</v>
      </c>
      <c r="C3" s="5" t="s">
        <v>10</v>
      </c>
      <c r="D3" s="5" t="s">
        <v>13</v>
      </c>
      <c r="E3" s="5" t="s">
        <v>16</v>
      </c>
      <c r="F3" s="5" t="s">
        <v>19</v>
      </c>
      <c r="G3" s="5" t="s">
        <v>22</v>
      </c>
      <c r="H3" s="5" t="s">
        <v>25</v>
      </c>
      <c r="I3" s="5" t="s">
        <v>16</v>
      </c>
      <c r="J3" s="5" t="s">
        <v>10</v>
      </c>
      <c r="K3" s="5" t="s">
        <v>16</v>
      </c>
      <c r="L3" s="5" t="s">
        <v>13</v>
      </c>
      <c r="M3" s="5" t="s">
        <v>13</v>
      </c>
      <c r="N3" s="5" t="s">
        <v>7</v>
      </c>
      <c r="O3" s="5" t="s">
        <v>10</v>
      </c>
      <c r="P3" s="5" t="s">
        <v>19</v>
      </c>
      <c r="Q3" s="5" t="s">
        <v>10</v>
      </c>
      <c r="R3" s="5" t="s">
        <v>7</v>
      </c>
    </row>
    <row r="4" spans="1:18" x14ac:dyDescent="0.3">
      <c r="A4" s="3" t="s">
        <v>3</v>
      </c>
      <c r="B4" s="5">
        <v>9788126975</v>
      </c>
      <c r="C4" s="5">
        <v>9748353963</v>
      </c>
      <c r="D4" s="5">
        <v>9516005884</v>
      </c>
      <c r="E4" s="5">
        <v>9795546501</v>
      </c>
      <c r="F4" s="5">
        <v>9451542063</v>
      </c>
      <c r="G4" s="5">
        <v>9679792345</v>
      </c>
      <c r="H4" s="5">
        <v>9101730949</v>
      </c>
      <c r="I4" s="5">
        <v>9539789822</v>
      </c>
      <c r="J4" s="5">
        <v>9171105243</v>
      </c>
      <c r="K4" s="5">
        <v>9517271776</v>
      </c>
      <c r="L4" s="5">
        <v>9679490408</v>
      </c>
      <c r="M4" s="5">
        <v>9401170233</v>
      </c>
      <c r="N4" s="5">
        <v>9848091371</v>
      </c>
      <c r="O4" s="5">
        <v>9328999533</v>
      </c>
      <c r="P4" s="5">
        <v>9561146827</v>
      </c>
      <c r="Q4" s="5">
        <v>9294102760</v>
      </c>
      <c r="R4" s="5">
        <v>9518520918</v>
      </c>
    </row>
    <row r="5" spans="1:18" x14ac:dyDescent="0.3">
      <c r="A5" s="3" t="s">
        <v>4</v>
      </c>
      <c r="B5" s="5" t="s">
        <v>8</v>
      </c>
      <c r="C5" s="5" t="s">
        <v>11</v>
      </c>
      <c r="D5" s="5" t="s">
        <v>14</v>
      </c>
      <c r="E5" s="5" t="s">
        <v>17</v>
      </c>
      <c r="F5" s="5" t="s">
        <v>20</v>
      </c>
      <c r="G5" s="5" t="s">
        <v>23</v>
      </c>
      <c r="H5" s="5" t="s">
        <v>26</v>
      </c>
      <c r="I5" s="5" t="s">
        <v>28</v>
      </c>
      <c r="J5" s="5" t="s">
        <v>30</v>
      </c>
      <c r="K5" s="5" t="s">
        <v>32</v>
      </c>
      <c r="L5" s="5" t="s">
        <v>34</v>
      </c>
      <c r="M5" s="5" t="s">
        <v>36</v>
      </c>
      <c r="N5" s="5" t="s">
        <v>38</v>
      </c>
      <c r="O5" s="5" t="s">
        <v>40</v>
      </c>
      <c r="P5" s="5" t="s">
        <v>14</v>
      </c>
      <c r="Q5" s="5" t="s">
        <v>43</v>
      </c>
      <c r="R5" s="5" t="s">
        <v>45</v>
      </c>
    </row>
    <row r="6" spans="1:18" x14ac:dyDescent="0.3">
      <c r="A6" s="3" t="s">
        <v>5</v>
      </c>
      <c r="B6" s="21">
        <v>45712</v>
      </c>
      <c r="C6" s="21">
        <v>44615</v>
      </c>
      <c r="D6" s="21">
        <v>45868</v>
      </c>
      <c r="E6" s="21">
        <v>44772</v>
      </c>
      <c r="F6" s="21">
        <v>44498</v>
      </c>
      <c r="G6" s="21">
        <v>44608</v>
      </c>
      <c r="H6" s="21">
        <v>45655</v>
      </c>
      <c r="I6" s="21">
        <v>45841</v>
      </c>
      <c r="J6" s="21">
        <v>45671</v>
      </c>
      <c r="K6" s="21">
        <v>45683</v>
      </c>
      <c r="L6" s="21">
        <v>45132</v>
      </c>
      <c r="M6" s="21">
        <v>45300</v>
      </c>
      <c r="N6" s="21">
        <v>44563</v>
      </c>
      <c r="O6" s="21">
        <v>45702</v>
      </c>
      <c r="P6" s="21">
        <v>45359</v>
      </c>
      <c r="Q6" s="21">
        <v>44441</v>
      </c>
      <c r="R6" s="21">
        <v>45601</v>
      </c>
    </row>
    <row r="7" spans="1:18" x14ac:dyDescent="0.3">
      <c r="A7" s="3" t="s">
        <v>160</v>
      </c>
      <c r="B7" s="5">
        <v>40000</v>
      </c>
      <c r="C7" s="5">
        <v>60000</v>
      </c>
      <c r="D7" s="5">
        <v>30000</v>
      </c>
      <c r="E7" s="5">
        <v>35000</v>
      </c>
      <c r="F7" s="5">
        <v>35000</v>
      </c>
      <c r="G7" s="5">
        <v>40000</v>
      </c>
      <c r="H7" s="5">
        <v>20000</v>
      </c>
      <c r="I7" s="5">
        <v>35000</v>
      </c>
      <c r="J7" s="5">
        <v>60000</v>
      </c>
      <c r="K7" s="5">
        <v>35000</v>
      </c>
      <c r="L7" s="5">
        <v>30000</v>
      </c>
      <c r="M7" s="5">
        <v>30000</v>
      </c>
      <c r="N7" s="5">
        <v>40000</v>
      </c>
      <c r="O7" s="5">
        <v>60000</v>
      </c>
      <c r="P7" s="5">
        <v>35000</v>
      </c>
      <c r="Q7" s="5">
        <v>60000</v>
      </c>
      <c r="R7" s="5">
        <v>40000</v>
      </c>
    </row>
    <row r="8" spans="1:18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10" spans="1:18" x14ac:dyDescent="0.3">
      <c r="C10" s="3" t="s">
        <v>0</v>
      </c>
      <c r="D10" s="27" t="s">
        <v>15</v>
      </c>
    </row>
    <row r="11" spans="1:18" x14ac:dyDescent="0.3">
      <c r="C11" s="3" t="s">
        <v>1</v>
      </c>
      <c r="D11" s="27"/>
      <c r="E11">
        <f>ROW()-9</f>
        <v>2</v>
      </c>
    </row>
    <row r="12" spans="1:18" x14ac:dyDescent="0.3">
      <c r="C12" s="3" t="s">
        <v>2</v>
      </c>
      <c r="D12" s="27"/>
    </row>
    <row r="13" spans="1:18" x14ac:dyDescent="0.3">
      <c r="C13" s="3" t="s">
        <v>3</v>
      </c>
      <c r="D13" s="27"/>
    </row>
    <row r="14" spans="1:18" x14ac:dyDescent="0.3">
      <c r="C14" s="3" t="s">
        <v>4</v>
      </c>
      <c r="D14" s="27"/>
    </row>
    <row r="15" spans="1:18" x14ac:dyDescent="0.3">
      <c r="C15" s="3" t="s">
        <v>5</v>
      </c>
      <c r="D15" s="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63E6C-DC6B-46E7-8F93-48CE79423724}">
  <dimension ref="A2:AY17"/>
  <sheetViews>
    <sheetView zoomScale="157" workbookViewId="0">
      <selection activeCell="G13" sqref="G13"/>
    </sheetView>
  </sheetViews>
  <sheetFormatPr defaultRowHeight="14.4" x14ac:dyDescent="0.3"/>
  <sheetData>
    <row r="2" spans="1:51" x14ac:dyDescent="0.3">
      <c r="A2" s="3" t="s">
        <v>0</v>
      </c>
      <c r="B2" t="s">
        <v>6</v>
      </c>
      <c r="C2" t="s">
        <v>9</v>
      </c>
      <c r="D2" t="s">
        <v>12</v>
      </c>
      <c r="E2" t="s">
        <v>15</v>
      </c>
      <c r="F2" t="s">
        <v>18</v>
      </c>
      <c r="G2" t="s">
        <v>21</v>
      </c>
      <c r="H2" t="s">
        <v>24</v>
      </c>
      <c r="I2" t="s">
        <v>27</v>
      </c>
      <c r="J2" t="s">
        <v>29</v>
      </c>
      <c r="K2" t="s">
        <v>31</v>
      </c>
      <c r="L2" t="s">
        <v>33</v>
      </c>
      <c r="M2" t="s">
        <v>35</v>
      </c>
      <c r="N2" t="s">
        <v>37</v>
      </c>
      <c r="O2" t="s">
        <v>39</v>
      </c>
      <c r="P2" t="s">
        <v>41</v>
      </c>
      <c r="Q2" t="s">
        <v>42</v>
      </c>
      <c r="R2" t="s">
        <v>44</v>
      </c>
      <c r="S2" t="s">
        <v>46</v>
      </c>
      <c r="T2" t="s">
        <v>48</v>
      </c>
      <c r="U2" t="s">
        <v>50</v>
      </c>
      <c r="V2" t="s">
        <v>52</v>
      </c>
      <c r="W2" t="s">
        <v>54</v>
      </c>
      <c r="X2" t="s">
        <v>56</v>
      </c>
      <c r="Y2" t="s">
        <v>58</v>
      </c>
      <c r="Z2" t="s">
        <v>60</v>
      </c>
      <c r="AA2" t="s">
        <v>62</v>
      </c>
      <c r="AB2" t="s">
        <v>64</v>
      </c>
      <c r="AC2" t="s">
        <v>66</v>
      </c>
      <c r="AD2" t="s">
        <v>68</v>
      </c>
      <c r="AE2" t="s">
        <v>70</v>
      </c>
      <c r="AF2" t="s">
        <v>72</v>
      </c>
      <c r="AG2" t="s">
        <v>74</v>
      </c>
      <c r="AH2" t="s">
        <v>76</v>
      </c>
      <c r="AI2" t="s">
        <v>78</v>
      </c>
      <c r="AJ2" t="s">
        <v>80</v>
      </c>
      <c r="AK2" t="s">
        <v>81</v>
      </c>
      <c r="AL2" t="s">
        <v>83</v>
      </c>
      <c r="AM2" t="s">
        <v>85</v>
      </c>
      <c r="AN2" t="s">
        <v>87</v>
      </c>
      <c r="AO2" t="s">
        <v>89</v>
      </c>
      <c r="AP2" t="s">
        <v>91</v>
      </c>
      <c r="AQ2" t="s">
        <v>93</v>
      </c>
      <c r="AR2" t="s">
        <v>95</v>
      </c>
      <c r="AS2" t="s">
        <v>97</v>
      </c>
      <c r="AT2" t="s">
        <v>99</v>
      </c>
      <c r="AU2" t="s">
        <v>101</v>
      </c>
      <c r="AV2" t="s">
        <v>103</v>
      </c>
      <c r="AW2" t="s">
        <v>105</v>
      </c>
      <c r="AX2" t="s">
        <v>106</v>
      </c>
      <c r="AY2" t="s">
        <v>108</v>
      </c>
    </row>
    <row r="3" spans="1:51" x14ac:dyDescent="0.3">
      <c r="A3" s="3" t="s">
        <v>1</v>
      </c>
      <c r="B3" t="s">
        <v>110</v>
      </c>
      <c r="C3" t="s">
        <v>111</v>
      </c>
      <c r="D3" t="s">
        <v>112</v>
      </c>
      <c r="E3" t="s">
        <v>113</v>
      </c>
      <c r="F3" t="s">
        <v>114</v>
      </c>
      <c r="G3" t="s">
        <v>115</v>
      </c>
      <c r="H3" t="s">
        <v>116</v>
      </c>
      <c r="I3" t="s">
        <v>117</v>
      </c>
      <c r="J3" t="s">
        <v>118</v>
      </c>
      <c r="K3" t="s">
        <v>119</v>
      </c>
      <c r="L3" t="s">
        <v>120</v>
      </c>
      <c r="M3" t="s">
        <v>121</v>
      </c>
      <c r="N3" t="s">
        <v>122</v>
      </c>
      <c r="O3" t="s">
        <v>123</v>
      </c>
      <c r="P3" t="s">
        <v>124</v>
      </c>
      <c r="Q3" t="s">
        <v>125</v>
      </c>
      <c r="R3" t="s">
        <v>126</v>
      </c>
      <c r="S3" t="s">
        <v>127</v>
      </c>
      <c r="T3" t="s">
        <v>128</v>
      </c>
      <c r="U3" t="s">
        <v>129</v>
      </c>
      <c r="V3" t="s">
        <v>130</v>
      </c>
      <c r="W3" t="s">
        <v>131</v>
      </c>
      <c r="X3" t="s">
        <v>132</v>
      </c>
      <c r="Y3" t="s">
        <v>133</v>
      </c>
      <c r="Z3" t="s">
        <v>134</v>
      </c>
      <c r="AA3" t="s">
        <v>135</v>
      </c>
      <c r="AB3" t="s">
        <v>136</v>
      </c>
      <c r="AC3" t="s">
        <v>137</v>
      </c>
      <c r="AD3" t="s">
        <v>138</v>
      </c>
      <c r="AE3" t="s">
        <v>139</v>
      </c>
      <c r="AF3" t="s">
        <v>140</v>
      </c>
      <c r="AG3" t="s">
        <v>141</v>
      </c>
      <c r="AH3" t="s">
        <v>142</v>
      </c>
      <c r="AI3" t="s">
        <v>143</v>
      </c>
      <c r="AJ3" t="s">
        <v>144</v>
      </c>
      <c r="AK3" t="s">
        <v>145</v>
      </c>
      <c r="AL3" t="s">
        <v>146</v>
      </c>
      <c r="AM3" t="s">
        <v>147</v>
      </c>
      <c r="AN3" t="s">
        <v>148</v>
      </c>
      <c r="AO3" t="s">
        <v>149</v>
      </c>
      <c r="AP3" t="s">
        <v>150</v>
      </c>
      <c r="AQ3" t="s">
        <v>151</v>
      </c>
      <c r="AR3" t="s">
        <v>152</v>
      </c>
      <c r="AS3" t="s">
        <v>153</v>
      </c>
      <c r="AT3" t="s">
        <v>154</v>
      </c>
      <c r="AU3" t="s">
        <v>155</v>
      </c>
      <c r="AV3" t="s">
        <v>156</v>
      </c>
      <c r="AW3" t="s">
        <v>157</v>
      </c>
      <c r="AX3" t="s">
        <v>158</v>
      </c>
      <c r="AY3" t="s">
        <v>159</v>
      </c>
    </row>
    <row r="4" spans="1:51" x14ac:dyDescent="0.3">
      <c r="A4" s="3" t="s">
        <v>2</v>
      </c>
      <c r="B4" t="s">
        <v>7</v>
      </c>
      <c r="C4" t="s">
        <v>10</v>
      </c>
      <c r="D4" t="s">
        <v>13</v>
      </c>
      <c r="E4" t="s">
        <v>16</v>
      </c>
      <c r="F4" t="s">
        <v>19</v>
      </c>
      <c r="G4" t="s">
        <v>22</v>
      </c>
      <c r="H4" t="s">
        <v>25</v>
      </c>
      <c r="I4" t="s">
        <v>16</v>
      </c>
      <c r="J4" t="s">
        <v>10</v>
      </c>
      <c r="K4" t="s">
        <v>16</v>
      </c>
      <c r="L4" t="s">
        <v>13</v>
      </c>
      <c r="M4" t="s">
        <v>13</v>
      </c>
      <c r="N4" t="s">
        <v>7</v>
      </c>
      <c r="O4" t="s">
        <v>10</v>
      </c>
      <c r="P4" t="s">
        <v>19</v>
      </c>
      <c r="Q4" t="s">
        <v>10</v>
      </c>
      <c r="R4" t="s">
        <v>7</v>
      </c>
      <c r="S4" t="s">
        <v>10</v>
      </c>
      <c r="T4" t="s">
        <v>25</v>
      </c>
      <c r="U4" t="s">
        <v>25</v>
      </c>
      <c r="V4" t="s">
        <v>22</v>
      </c>
      <c r="W4" t="s">
        <v>13</v>
      </c>
      <c r="X4" t="s">
        <v>25</v>
      </c>
      <c r="Y4" t="s">
        <v>19</v>
      </c>
      <c r="Z4" t="s">
        <v>16</v>
      </c>
      <c r="AA4" t="s">
        <v>13</v>
      </c>
      <c r="AB4" t="s">
        <v>19</v>
      </c>
      <c r="AC4" t="s">
        <v>13</v>
      </c>
      <c r="AD4" t="s">
        <v>16</v>
      </c>
      <c r="AE4" t="s">
        <v>25</v>
      </c>
      <c r="AF4" t="s">
        <v>10</v>
      </c>
      <c r="AG4" t="s">
        <v>10</v>
      </c>
      <c r="AH4" t="s">
        <v>19</v>
      </c>
      <c r="AI4" t="s">
        <v>10</v>
      </c>
      <c r="AJ4" t="s">
        <v>13</v>
      </c>
      <c r="AK4" t="s">
        <v>13</v>
      </c>
      <c r="AL4" t="s">
        <v>13</v>
      </c>
      <c r="AM4" t="s">
        <v>7</v>
      </c>
      <c r="AN4" t="s">
        <v>16</v>
      </c>
      <c r="AO4" t="s">
        <v>22</v>
      </c>
      <c r="AP4" t="s">
        <v>25</v>
      </c>
      <c r="AQ4" t="s">
        <v>19</v>
      </c>
      <c r="AR4" t="s">
        <v>16</v>
      </c>
      <c r="AS4" t="s">
        <v>19</v>
      </c>
      <c r="AT4" t="s">
        <v>25</v>
      </c>
      <c r="AU4" t="s">
        <v>16</v>
      </c>
      <c r="AV4" t="s">
        <v>19</v>
      </c>
      <c r="AW4" t="s">
        <v>7</v>
      </c>
      <c r="AX4" t="s">
        <v>25</v>
      </c>
      <c r="AY4" t="s">
        <v>10</v>
      </c>
    </row>
    <row r="5" spans="1:51" x14ac:dyDescent="0.3">
      <c r="A5" s="3" t="s">
        <v>3</v>
      </c>
      <c r="B5">
        <v>9788126975</v>
      </c>
      <c r="C5">
        <v>9748353963</v>
      </c>
      <c r="D5">
        <v>9516005884</v>
      </c>
      <c r="E5">
        <v>9795546501</v>
      </c>
      <c r="F5">
        <v>9451542063</v>
      </c>
      <c r="G5">
        <v>9679792345</v>
      </c>
      <c r="H5">
        <v>9101730949</v>
      </c>
      <c r="I5">
        <v>9539789822</v>
      </c>
      <c r="J5">
        <v>9171105243</v>
      </c>
      <c r="K5">
        <v>9517271776</v>
      </c>
      <c r="L5">
        <v>9679490408</v>
      </c>
      <c r="M5">
        <v>9401170233</v>
      </c>
      <c r="N5">
        <v>9848091371</v>
      </c>
      <c r="O5">
        <v>9328999533</v>
      </c>
      <c r="P5">
        <v>9561146827</v>
      </c>
      <c r="Q5">
        <v>9294102760</v>
      </c>
      <c r="R5">
        <v>9518520918</v>
      </c>
      <c r="S5">
        <v>9919828491</v>
      </c>
      <c r="T5">
        <v>9633487038</v>
      </c>
      <c r="U5">
        <v>9164750018</v>
      </c>
      <c r="V5">
        <v>9663892548</v>
      </c>
      <c r="W5">
        <v>9260019037</v>
      </c>
      <c r="X5">
        <v>9792433898</v>
      </c>
      <c r="Y5">
        <v>9632036960</v>
      </c>
      <c r="Z5">
        <v>9176041674</v>
      </c>
      <c r="AA5">
        <v>9282481138</v>
      </c>
      <c r="AB5">
        <v>9570908121</v>
      </c>
      <c r="AC5">
        <v>9412624617</v>
      </c>
      <c r="AD5">
        <v>9291667330</v>
      </c>
      <c r="AE5">
        <v>9129955094</v>
      </c>
      <c r="AF5">
        <v>9926585852</v>
      </c>
      <c r="AG5">
        <v>9326490477</v>
      </c>
      <c r="AH5">
        <v>9217985884</v>
      </c>
      <c r="AI5">
        <v>9178467084</v>
      </c>
      <c r="AJ5">
        <v>9910566265</v>
      </c>
      <c r="AK5">
        <v>9973422461</v>
      </c>
      <c r="AL5">
        <v>9885221132</v>
      </c>
      <c r="AM5">
        <v>9636539608</v>
      </c>
      <c r="AN5">
        <v>9622967132</v>
      </c>
      <c r="AO5">
        <v>9741001897</v>
      </c>
      <c r="AP5">
        <v>9206814793</v>
      </c>
      <c r="AQ5">
        <v>9521831148</v>
      </c>
      <c r="AR5">
        <v>9641199476</v>
      </c>
      <c r="AS5">
        <v>9118975109</v>
      </c>
      <c r="AT5">
        <v>9760766471</v>
      </c>
      <c r="AU5">
        <v>9198573825</v>
      </c>
      <c r="AV5">
        <v>9476829499</v>
      </c>
      <c r="AW5">
        <v>9442260459</v>
      </c>
      <c r="AX5">
        <v>9351199484</v>
      </c>
      <c r="AY5">
        <v>9134637306</v>
      </c>
    </row>
    <row r="6" spans="1:51" x14ac:dyDescent="0.3">
      <c r="A6" s="3" t="s">
        <v>4</v>
      </c>
      <c r="B6" t="s">
        <v>8</v>
      </c>
      <c r="C6" t="s">
        <v>11</v>
      </c>
      <c r="D6" t="s">
        <v>14</v>
      </c>
      <c r="E6" t="s">
        <v>17</v>
      </c>
      <c r="F6" t="s">
        <v>20</v>
      </c>
      <c r="G6" t="s">
        <v>23</v>
      </c>
      <c r="H6" t="s">
        <v>26</v>
      </c>
      <c r="I6" t="s">
        <v>28</v>
      </c>
      <c r="J6" t="s">
        <v>30</v>
      </c>
      <c r="K6" t="s">
        <v>32</v>
      </c>
      <c r="L6" t="s">
        <v>34</v>
      </c>
      <c r="M6" t="s">
        <v>36</v>
      </c>
      <c r="N6" t="s">
        <v>38</v>
      </c>
      <c r="O6" t="s">
        <v>40</v>
      </c>
      <c r="P6" t="s">
        <v>14</v>
      </c>
      <c r="Q6" t="s">
        <v>43</v>
      </c>
      <c r="R6" t="s">
        <v>45</v>
      </c>
      <c r="S6" t="s">
        <v>47</v>
      </c>
      <c r="T6" t="s">
        <v>49</v>
      </c>
      <c r="U6" t="s">
        <v>51</v>
      </c>
      <c r="V6" t="s">
        <v>53</v>
      </c>
      <c r="W6" t="s">
        <v>55</v>
      </c>
      <c r="X6" t="s">
        <v>57</v>
      </c>
      <c r="Y6" t="s">
        <v>59</v>
      </c>
      <c r="Z6" t="s">
        <v>61</v>
      </c>
      <c r="AA6" t="s">
        <v>63</v>
      </c>
      <c r="AB6" t="s">
        <v>65</v>
      </c>
      <c r="AC6" t="s">
        <v>67</v>
      </c>
      <c r="AD6" t="s">
        <v>69</v>
      </c>
      <c r="AE6" t="s">
        <v>71</v>
      </c>
      <c r="AF6" t="s">
        <v>73</v>
      </c>
      <c r="AG6" t="s">
        <v>75</v>
      </c>
      <c r="AH6" t="s">
        <v>77</v>
      </c>
      <c r="AI6" t="s">
        <v>79</v>
      </c>
      <c r="AJ6" t="s">
        <v>53</v>
      </c>
      <c r="AK6" t="s">
        <v>82</v>
      </c>
      <c r="AL6" t="s">
        <v>84</v>
      </c>
      <c r="AM6" t="s">
        <v>86</v>
      </c>
      <c r="AN6" t="s">
        <v>88</v>
      </c>
      <c r="AO6" t="s">
        <v>90</v>
      </c>
      <c r="AP6" t="s">
        <v>92</v>
      </c>
      <c r="AQ6" t="s">
        <v>94</v>
      </c>
      <c r="AR6" t="s">
        <v>96</v>
      </c>
      <c r="AS6" t="s">
        <v>98</v>
      </c>
      <c r="AT6" t="s">
        <v>100</v>
      </c>
      <c r="AU6" t="s">
        <v>102</v>
      </c>
      <c r="AV6" t="s">
        <v>104</v>
      </c>
      <c r="AW6" t="s">
        <v>53</v>
      </c>
      <c r="AX6" t="s">
        <v>107</v>
      </c>
      <c r="AY6" t="s">
        <v>109</v>
      </c>
    </row>
    <row r="7" spans="1:51" x14ac:dyDescent="0.3">
      <c r="A7" s="3" t="s">
        <v>5</v>
      </c>
      <c r="B7" s="1">
        <v>45712</v>
      </c>
      <c r="C7" s="1">
        <v>44615</v>
      </c>
      <c r="D7" s="1">
        <v>45868</v>
      </c>
      <c r="E7" s="1">
        <v>44772</v>
      </c>
      <c r="F7" s="1">
        <v>44498</v>
      </c>
      <c r="G7" s="1">
        <v>44608</v>
      </c>
      <c r="H7" s="1">
        <v>45655</v>
      </c>
      <c r="I7" s="1">
        <v>45841</v>
      </c>
      <c r="J7" s="1">
        <v>45671</v>
      </c>
      <c r="K7" s="1">
        <v>45683</v>
      </c>
      <c r="L7" s="1">
        <v>45132</v>
      </c>
      <c r="M7" s="1">
        <v>45300</v>
      </c>
      <c r="N7" s="1">
        <v>44563</v>
      </c>
      <c r="O7" s="1">
        <v>45702</v>
      </c>
      <c r="P7" s="1">
        <v>45359</v>
      </c>
      <c r="Q7" s="1">
        <v>44441</v>
      </c>
      <c r="R7" s="1">
        <v>45601</v>
      </c>
      <c r="S7" s="1">
        <v>45043</v>
      </c>
      <c r="T7" s="1">
        <v>45174</v>
      </c>
      <c r="U7" s="1">
        <v>45460</v>
      </c>
      <c r="V7" s="1">
        <v>45434</v>
      </c>
      <c r="W7" s="1">
        <v>45508</v>
      </c>
      <c r="X7" s="1">
        <v>44451</v>
      </c>
      <c r="Y7" s="1">
        <v>44602</v>
      </c>
      <c r="Z7" s="1">
        <v>44538</v>
      </c>
      <c r="AA7" s="1">
        <v>44465</v>
      </c>
      <c r="AB7" s="1">
        <v>45624</v>
      </c>
      <c r="AC7" s="1">
        <v>44791</v>
      </c>
      <c r="AD7" s="1">
        <v>44600</v>
      </c>
      <c r="AE7" s="1">
        <v>45005</v>
      </c>
      <c r="AF7" s="1">
        <v>45425</v>
      </c>
      <c r="AG7" s="1">
        <v>45089</v>
      </c>
      <c r="AH7" s="1">
        <v>44429</v>
      </c>
      <c r="AI7" s="1">
        <v>45870</v>
      </c>
      <c r="AJ7" s="1">
        <v>45750</v>
      </c>
      <c r="AK7" s="1">
        <v>44744</v>
      </c>
      <c r="AL7" s="1">
        <v>44679</v>
      </c>
      <c r="AM7" s="1">
        <v>45842</v>
      </c>
      <c r="AN7" s="1">
        <v>45098</v>
      </c>
      <c r="AO7" s="1">
        <v>45351</v>
      </c>
      <c r="AP7" s="1">
        <v>45723</v>
      </c>
      <c r="AQ7" s="1">
        <v>45604</v>
      </c>
      <c r="AR7" s="1">
        <v>45219</v>
      </c>
      <c r="AS7" s="1">
        <v>44678</v>
      </c>
      <c r="AT7" s="1">
        <v>45117</v>
      </c>
      <c r="AU7" s="1">
        <v>44663</v>
      </c>
      <c r="AV7" s="1">
        <v>44555</v>
      </c>
      <c r="AW7" s="1">
        <v>45484</v>
      </c>
      <c r="AX7" s="1">
        <v>44463</v>
      </c>
      <c r="AY7" s="1">
        <v>45195</v>
      </c>
    </row>
    <row r="8" spans="1:51" x14ac:dyDescent="0.3">
      <c r="A8" s="6" t="s">
        <v>160</v>
      </c>
      <c r="B8">
        <v>40000</v>
      </c>
      <c r="C8">
        <v>60000</v>
      </c>
      <c r="D8">
        <v>30000</v>
      </c>
      <c r="E8">
        <v>35000</v>
      </c>
      <c r="F8">
        <v>35000</v>
      </c>
      <c r="G8">
        <v>40000</v>
      </c>
      <c r="H8">
        <v>20000</v>
      </c>
      <c r="I8">
        <v>35000</v>
      </c>
      <c r="J8">
        <v>60000</v>
      </c>
      <c r="K8">
        <v>35000</v>
      </c>
      <c r="L8">
        <v>30000</v>
      </c>
      <c r="M8">
        <v>30000</v>
      </c>
      <c r="N8">
        <v>40000</v>
      </c>
      <c r="O8">
        <v>60000</v>
      </c>
      <c r="P8">
        <v>35000</v>
      </c>
      <c r="Q8">
        <v>60000</v>
      </c>
      <c r="R8">
        <v>40000</v>
      </c>
      <c r="S8">
        <v>60000</v>
      </c>
      <c r="T8">
        <v>20000</v>
      </c>
      <c r="U8">
        <v>20000</v>
      </c>
      <c r="V8">
        <v>40000</v>
      </c>
      <c r="W8">
        <v>30000</v>
      </c>
      <c r="X8">
        <v>20000</v>
      </c>
      <c r="Y8">
        <v>35000</v>
      </c>
      <c r="Z8">
        <v>35000</v>
      </c>
      <c r="AA8">
        <v>30000</v>
      </c>
      <c r="AB8">
        <v>35000</v>
      </c>
      <c r="AC8">
        <v>30000</v>
      </c>
      <c r="AD8">
        <v>35000</v>
      </c>
      <c r="AE8">
        <v>20000</v>
      </c>
      <c r="AF8">
        <v>60000</v>
      </c>
      <c r="AG8">
        <v>60000</v>
      </c>
      <c r="AH8">
        <v>35000</v>
      </c>
      <c r="AI8">
        <v>60000</v>
      </c>
      <c r="AJ8">
        <v>30000</v>
      </c>
      <c r="AK8">
        <v>30000</v>
      </c>
      <c r="AL8">
        <v>30000</v>
      </c>
      <c r="AM8">
        <v>40000</v>
      </c>
      <c r="AN8">
        <v>35000</v>
      </c>
      <c r="AO8">
        <v>40000</v>
      </c>
      <c r="AP8">
        <v>20000</v>
      </c>
      <c r="AQ8">
        <v>35000</v>
      </c>
      <c r="AR8">
        <v>35000</v>
      </c>
      <c r="AS8">
        <v>35000</v>
      </c>
      <c r="AT8">
        <v>20000</v>
      </c>
      <c r="AU8">
        <v>35000</v>
      </c>
      <c r="AV8">
        <v>35000</v>
      </c>
      <c r="AW8">
        <v>40000</v>
      </c>
      <c r="AX8">
        <v>20000</v>
      </c>
      <c r="AY8">
        <v>60000</v>
      </c>
    </row>
    <row r="12" spans="1:51" x14ac:dyDescent="0.3">
      <c r="E12" s="3" t="s">
        <v>0</v>
      </c>
      <c r="F12" s="27" t="s">
        <v>15</v>
      </c>
    </row>
    <row r="13" spans="1:51" x14ac:dyDescent="0.3">
      <c r="E13" s="3" t="s">
        <v>1</v>
      </c>
      <c r="F13" s="27"/>
    </row>
    <row r="14" spans="1:51" x14ac:dyDescent="0.3">
      <c r="E14" s="3" t="s">
        <v>2</v>
      </c>
      <c r="F14" s="27"/>
    </row>
    <row r="15" spans="1:51" x14ac:dyDescent="0.3">
      <c r="E15" s="3" t="s">
        <v>3</v>
      </c>
      <c r="F15" s="27"/>
    </row>
    <row r="16" spans="1:51" x14ac:dyDescent="0.3">
      <c r="E16" s="3" t="s">
        <v>4</v>
      </c>
      <c r="F16" s="27"/>
    </row>
    <row r="17" spans="5:6" x14ac:dyDescent="0.3">
      <c r="E17" s="3" t="s">
        <v>5</v>
      </c>
      <c r="F17" s="2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2557F-9CE7-404D-A640-D9CF958B2DBC}">
  <dimension ref="A2:H23"/>
  <sheetViews>
    <sheetView zoomScale="60" workbookViewId="0">
      <selection activeCell="B30" sqref="B30"/>
    </sheetView>
  </sheetViews>
  <sheetFormatPr defaultRowHeight="14.4" x14ac:dyDescent="0.3"/>
  <cols>
    <col min="1" max="1" width="27.5546875" bestFit="1" customWidth="1"/>
    <col min="2" max="2" width="12.33203125" bestFit="1" customWidth="1"/>
    <col min="3" max="3" width="15" bestFit="1" customWidth="1"/>
    <col min="7" max="7" width="12.33203125" bestFit="1" customWidth="1"/>
    <col min="8" max="8" width="15" bestFit="1" customWidth="1"/>
  </cols>
  <sheetData>
    <row r="2" spans="1:8" x14ac:dyDescent="0.3">
      <c r="B2" s="30" t="s">
        <v>205</v>
      </c>
      <c r="C2" s="30"/>
      <c r="D2" s="30"/>
      <c r="E2" s="30"/>
      <c r="F2" s="30"/>
      <c r="G2" s="30"/>
      <c r="H2" s="30"/>
    </row>
    <row r="3" spans="1:8" x14ac:dyDescent="0.3">
      <c r="B3" s="30"/>
      <c r="C3" s="30"/>
      <c r="D3" s="30"/>
      <c r="E3" s="30"/>
      <c r="F3" s="30"/>
      <c r="G3" s="30"/>
      <c r="H3" s="30"/>
    </row>
    <row r="4" spans="1:8" x14ac:dyDescent="0.3">
      <c r="B4" s="30"/>
      <c r="C4" s="30"/>
      <c r="D4" s="30"/>
      <c r="E4" s="30"/>
      <c r="F4" s="30"/>
      <c r="G4" s="30"/>
      <c r="H4" s="30"/>
    </row>
    <row r="7" spans="1:8" x14ac:dyDescent="0.3">
      <c r="A7" s="16" t="s">
        <v>204</v>
      </c>
    </row>
    <row r="8" spans="1:8" x14ac:dyDescent="0.3">
      <c r="A8" s="12" t="s">
        <v>167</v>
      </c>
      <c r="B8" s="12" t="s">
        <v>169</v>
      </c>
      <c r="C8" s="2" t="s">
        <v>193</v>
      </c>
      <c r="G8" s="17" t="s">
        <v>169</v>
      </c>
      <c r="H8" s="18" t="s">
        <v>193</v>
      </c>
    </row>
    <row r="9" spans="1:8" x14ac:dyDescent="0.3">
      <c r="A9" t="s">
        <v>110</v>
      </c>
      <c r="B9">
        <v>50000</v>
      </c>
      <c r="G9">
        <v>0</v>
      </c>
      <c r="H9">
        <v>0</v>
      </c>
    </row>
    <row r="10" spans="1:8" x14ac:dyDescent="0.3">
      <c r="A10" t="s">
        <v>184</v>
      </c>
      <c r="B10">
        <v>120000</v>
      </c>
      <c r="G10">
        <v>50000</v>
      </c>
      <c r="H10">
        <v>80000</v>
      </c>
    </row>
    <row r="11" spans="1:8" x14ac:dyDescent="0.3">
      <c r="A11" t="s">
        <v>186</v>
      </c>
      <c r="B11">
        <v>98000</v>
      </c>
      <c r="G11">
        <v>100000</v>
      </c>
      <c r="H11">
        <v>150000</v>
      </c>
    </row>
    <row r="12" spans="1:8" x14ac:dyDescent="0.3">
      <c r="A12" t="s">
        <v>188</v>
      </c>
      <c r="B12">
        <v>56000</v>
      </c>
      <c r="G12">
        <v>150000</v>
      </c>
      <c r="H12">
        <v>300000</v>
      </c>
    </row>
    <row r="13" spans="1:8" x14ac:dyDescent="0.3">
      <c r="A13" t="s">
        <v>190</v>
      </c>
      <c r="B13">
        <v>46000</v>
      </c>
      <c r="G13">
        <v>200000</v>
      </c>
      <c r="H13">
        <v>400000</v>
      </c>
    </row>
    <row r="14" spans="1:8" x14ac:dyDescent="0.3">
      <c r="A14" t="s">
        <v>194</v>
      </c>
      <c r="B14">
        <v>50000</v>
      </c>
      <c r="G14">
        <v>30000000</v>
      </c>
      <c r="H14">
        <v>500000</v>
      </c>
    </row>
    <row r="15" spans="1:8" x14ac:dyDescent="0.3">
      <c r="A15" t="s">
        <v>195</v>
      </c>
      <c r="B15">
        <v>120000</v>
      </c>
    </row>
    <row r="16" spans="1:8" x14ac:dyDescent="0.3">
      <c r="A16" t="s">
        <v>196</v>
      </c>
      <c r="B16">
        <v>50000</v>
      </c>
      <c r="G16" s="9"/>
      <c r="H16" s="9"/>
    </row>
    <row r="17" spans="1:2" x14ac:dyDescent="0.3">
      <c r="A17" t="s">
        <v>197</v>
      </c>
      <c r="B17">
        <v>56000</v>
      </c>
    </row>
    <row r="18" spans="1:2" x14ac:dyDescent="0.3">
      <c r="A18" t="s">
        <v>198</v>
      </c>
      <c r="B18">
        <v>46000</v>
      </c>
    </row>
    <row r="19" spans="1:2" x14ac:dyDescent="0.3">
      <c r="A19" t="s">
        <v>199</v>
      </c>
      <c r="B19">
        <v>50000</v>
      </c>
    </row>
    <row r="20" spans="1:2" x14ac:dyDescent="0.3">
      <c r="A20" t="s">
        <v>200</v>
      </c>
      <c r="B20">
        <v>120000</v>
      </c>
    </row>
    <row r="21" spans="1:2" x14ac:dyDescent="0.3">
      <c r="A21" t="s">
        <v>201</v>
      </c>
      <c r="B21">
        <v>220000</v>
      </c>
    </row>
    <row r="22" spans="1:2" x14ac:dyDescent="0.3">
      <c r="A22" t="s">
        <v>202</v>
      </c>
      <c r="B22">
        <v>56000</v>
      </c>
    </row>
    <row r="23" spans="1:2" x14ac:dyDescent="0.3">
      <c r="A23" t="s">
        <v>203</v>
      </c>
      <c r="B23">
        <v>46000</v>
      </c>
    </row>
  </sheetData>
  <mergeCells count="1">
    <mergeCell ref="B2:H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7AA7C-D6B5-4819-962E-353270896E36}">
  <dimension ref="A1:Y51"/>
  <sheetViews>
    <sheetView zoomScale="60" zoomScaleNormal="106" workbookViewId="0">
      <selection activeCell="I13" sqref="I13"/>
    </sheetView>
  </sheetViews>
  <sheetFormatPr defaultRowHeight="14.4" x14ac:dyDescent="0.3"/>
  <cols>
    <col min="1" max="1" width="15.33203125" bestFit="1" customWidth="1"/>
    <col min="2" max="2" width="15.44140625" bestFit="1" customWidth="1"/>
    <col min="3" max="3" width="12.33203125" bestFit="1" customWidth="1"/>
    <col min="4" max="4" width="7.5546875" bestFit="1" customWidth="1"/>
    <col min="5" max="5" width="12.5546875" bestFit="1" customWidth="1"/>
    <col min="8" max="8" width="15.44140625" bestFit="1" customWidth="1"/>
    <col min="9" max="9" width="11.5546875" bestFit="1" customWidth="1"/>
    <col min="13" max="13" width="14.6640625" bestFit="1" customWidth="1"/>
    <col min="14" max="14" width="15.44140625" bestFit="1" customWidth="1"/>
    <col min="15" max="15" width="12.33203125" bestFit="1" customWidth="1"/>
    <col min="16" max="16" width="10.6640625" bestFit="1" customWidth="1"/>
    <col min="17" max="17" width="12.5546875" bestFit="1" customWidth="1"/>
  </cols>
  <sheetData>
    <row r="1" spans="1:25" x14ac:dyDescent="0.3">
      <c r="A1" s="11" t="s">
        <v>166</v>
      </c>
      <c r="G1" s="31" t="s">
        <v>192</v>
      </c>
      <c r="H1" s="31"/>
      <c r="I1" s="31"/>
      <c r="J1" s="31"/>
      <c r="K1" s="31"/>
      <c r="M1" s="14" t="s">
        <v>181</v>
      </c>
    </row>
    <row r="2" spans="1:25" x14ac:dyDescent="0.3">
      <c r="A2" s="13" t="s">
        <v>167</v>
      </c>
      <c r="B2" s="13" t="s">
        <v>168</v>
      </c>
      <c r="C2" s="13" t="s">
        <v>169</v>
      </c>
      <c r="D2" s="13" t="s">
        <v>4</v>
      </c>
      <c r="E2" s="13" t="s">
        <v>170</v>
      </c>
      <c r="G2" s="31"/>
      <c r="H2" s="31"/>
      <c r="I2" s="31"/>
      <c r="J2" s="31"/>
      <c r="K2" s="31"/>
      <c r="M2" s="15" t="s">
        <v>167</v>
      </c>
      <c r="N2" s="15" t="s">
        <v>168</v>
      </c>
      <c r="O2" s="15" t="s">
        <v>169</v>
      </c>
      <c r="P2" s="15" t="s">
        <v>4</v>
      </c>
      <c r="Q2" s="15" t="s">
        <v>170</v>
      </c>
    </row>
    <row r="3" spans="1:25" x14ac:dyDescent="0.3">
      <c r="A3" t="s">
        <v>171</v>
      </c>
      <c r="B3">
        <v>101</v>
      </c>
      <c r="C3">
        <v>75000</v>
      </c>
      <c r="D3" t="s">
        <v>172</v>
      </c>
      <c r="E3" t="s">
        <v>173</v>
      </c>
      <c r="G3" s="31"/>
      <c r="H3" s="31"/>
      <c r="I3" s="31"/>
      <c r="J3" s="31"/>
      <c r="K3" s="31"/>
      <c r="M3" t="s">
        <v>110</v>
      </c>
      <c r="N3">
        <v>201</v>
      </c>
      <c r="O3">
        <v>50000</v>
      </c>
      <c r="P3" t="s">
        <v>182</v>
      </c>
      <c r="Q3" t="s">
        <v>183</v>
      </c>
    </row>
    <row r="4" spans="1:25" x14ac:dyDescent="0.3">
      <c r="A4" t="s">
        <v>174</v>
      </c>
      <c r="B4">
        <v>102</v>
      </c>
      <c r="C4">
        <v>45000</v>
      </c>
      <c r="D4" t="s">
        <v>175</v>
      </c>
      <c r="E4" t="s">
        <v>173</v>
      </c>
      <c r="M4" t="s">
        <v>184</v>
      </c>
      <c r="N4">
        <v>202</v>
      </c>
      <c r="O4">
        <v>120000</v>
      </c>
      <c r="P4" t="s">
        <v>185</v>
      </c>
      <c r="Q4" t="s">
        <v>183</v>
      </c>
    </row>
    <row r="5" spans="1:25" x14ac:dyDescent="0.3">
      <c r="A5" t="s">
        <v>176</v>
      </c>
      <c r="B5">
        <v>103</v>
      </c>
      <c r="C5">
        <v>67000</v>
      </c>
      <c r="D5" t="s">
        <v>177</v>
      </c>
      <c r="E5" t="s">
        <v>173</v>
      </c>
      <c r="H5" s="10" t="s">
        <v>168</v>
      </c>
      <c r="I5" s="4">
        <v>214</v>
      </c>
      <c r="M5" t="s">
        <v>186</v>
      </c>
      <c r="N5">
        <v>203</v>
      </c>
      <c r="O5">
        <v>98000</v>
      </c>
      <c r="P5" t="s">
        <v>187</v>
      </c>
      <c r="Q5" t="s">
        <v>183</v>
      </c>
      <c r="U5" t="str" cm="1">
        <f t="array" ref="U5:Y5">_xlfn.XLOOKUP(J5,$B$2:$B$50,$A$2:$E$50,_xlfn.XLOOKUP(I5,$N$2:$N$51,$M$2:$Q$51,"not found"))</f>
        <v>Rohan Patel</v>
      </c>
      <c r="V5">
        <v>214</v>
      </c>
      <c r="W5">
        <v>56000</v>
      </c>
      <c r="X5" t="str">
        <v>Ahmedabad</v>
      </c>
      <c r="Y5" t="str">
        <v>Savings</v>
      </c>
    </row>
    <row r="6" spans="1:25" x14ac:dyDescent="0.3">
      <c r="A6" t="s">
        <v>178</v>
      </c>
      <c r="B6">
        <v>104</v>
      </c>
      <c r="C6">
        <v>89000</v>
      </c>
      <c r="D6" t="s">
        <v>179</v>
      </c>
      <c r="E6" t="s">
        <v>173</v>
      </c>
      <c r="H6" s="10" t="s">
        <v>167</v>
      </c>
      <c r="I6" s="4"/>
      <c r="M6" t="s">
        <v>188</v>
      </c>
      <c r="N6">
        <v>204</v>
      </c>
      <c r="O6">
        <v>56000</v>
      </c>
      <c r="P6" t="s">
        <v>189</v>
      </c>
      <c r="Q6" t="s">
        <v>183</v>
      </c>
    </row>
    <row r="7" spans="1:25" x14ac:dyDescent="0.3">
      <c r="A7" t="s">
        <v>180</v>
      </c>
      <c r="B7">
        <v>105</v>
      </c>
      <c r="C7">
        <v>77000</v>
      </c>
      <c r="D7" t="s">
        <v>26</v>
      </c>
      <c r="E7" t="s">
        <v>173</v>
      </c>
      <c r="M7" t="s">
        <v>190</v>
      </c>
      <c r="N7">
        <v>205</v>
      </c>
      <c r="O7">
        <v>46000</v>
      </c>
      <c r="P7" t="s">
        <v>191</v>
      </c>
      <c r="Q7" t="s">
        <v>183</v>
      </c>
    </row>
    <row r="8" spans="1:25" x14ac:dyDescent="0.3">
      <c r="A8" t="s">
        <v>171</v>
      </c>
      <c r="B8">
        <v>106</v>
      </c>
      <c r="C8">
        <v>75000</v>
      </c>
      <c r="D8" t="s">
        <v>172</v>
      </c>
      <c r="E8" t="s">
        <v>173</v>
      </c>
      <c r="M8" t="s">
        <v>110</v>
      </c>
      <c r="N8">
        <v>206</v>
      </c>
      <c r="O8">
        <v>50000</v>
      </c>
      <c r="P8" t="s">
        <v>182</v>
      </c>
      <c r="Q8" t="s">
        <v>183</v>
      </c>
    </row>
    <row r="9" spans="1:25" x14ac:dyDescent="0.3">
      <c r="A9" t="s">
        <v>174</v>
      </c>
      <c r="B9">
        <v>107</v>
      </c>
      <c r="C9">
        <v>45000</v>
      </c>
      <c r="D9" t="s">
        <v>175</v>
      </c>
      <c r="E9" t="s">
        <v>173</v>
      </c>
      <c r="H9" t="s">
        <v>209</v>
      </c>
      <c r="M9" t="s">
        <v>184</v>
      </c>
      <c r="N9">
        <v>207</v>
      </c>
      <c r="O9">
        <v>120000</v>
      </c>
      <c r="P9" t="s">
        <v>185</v>
      </c>
      <c r="Q9" t="s">
        <v>183</v>
      </c>
    </row>
    <row r="10" spans="1:25" x14ac:dyDescent="0.3">
      <c r="A10" t="s">
        <v>176</v>
      </c>
      <c r="B10">
        <v>108</v>
      </c>
      <c r="C10">
        <v>67000</v>
      </c>
      <c r="D10" t="s">
        <v>177</v>
      </c>
      <c r="E10" t="s">
        <v>173</v>
      </c>
      <c r="M10" t="s">
        <v>186</v>
      </c>
      <c r="N10">
        <v>208</v>
      </c>
      <c r="O10">
        <v>98000</v>
      </c>
      <c r="P10" t="s">
        <v>187</v>
      </c>
      <c r="Q10" t="s">
        <v>183</v>
      </c>
    </row>
    <row r="11" spans="1:25" x14ac:dyDescent="0.3">
      <c r="A11" t="s">
        <v>178</v>
      </c>
      <c r="B11">
        <v>109</v>
      </c>
      <c r="C11">
        <v>89000</v>
      </c>
      <c r="D11" t="s">
        <v>179</v>
      </c>
      <c r="E11" t="s">
        <v>173</v>
      </c>
      <c r="M11" t="s">
        <v>188</v>
      </c>
      <c r="N11">
        <v>209</v>
      </c>
      <c r="O11">
        <v>56000</v>
      </c>
      <c r="P11" t="s">
        <v>189</v>
      </c>
      <c r="Q11" t="s">
        <v>183</v>
      </c>
    </row>
    <row r="12" spans="1:25" x14ac:dyDescent="0.3">
      <c r="A12" t="s">
        <v>180</v>
      </c>
      <c r="B12">
        <v>110</v>
      </c>
      <c r="C12">
        <v>77000</v>
      </c>
      <c r="D12" t="s">
        <v>26</v>
      </c>
      <c r="E12" t="s">
        <v>173</v>
      </c>
      <c r="M12" t="s">
        <v>190</v>
      </c>
      <c r="N12">
        <v>210</v>
      </c>
      <c r="O12">
        <v>46000</v>
      </c>
      <c r="P12" t="s">
        <v>191</v>
      </c>
      <c r="Q12" t="s">
        <v>183</v>
      </c>
    </row>
    <row r="13" spans="1:25" x14ac:dyDescent="0.3">
      <c r="A13" t="s">
        <v>171</v>
      </c>
      <c r="B13">
        <v>111</v>
      </c>
      <c r="C13">
        <v>75000</v>
      </c>
      <c r="D13" t="s">
        <v>172</v>
      </c>
      <c r="E13" t="s">
        <v>173</v>
      </c>
      <c r="M13" t="s">
        <v>110</v>
      </c>
      <c r="N13">
        <v>211</v>
      </c>
      <c r="O13">
        <v>50000</v>
      </c>
      <c r="P13" t="s">
        <v>182</v>
      </c>
      <c r="Q13" t="s">
        <v>183</v>
      </c>
    </row>
    <row r="14" spans="1:25" x14ac:dyDescent="0.3">
      <c r="A14" t="s">
        <v>174</v>
      </c>
      <c r="B14">
        <v>112</v>
      </c>
      <c r="C14">
        <v>45000</v>
      </c>
      <c r="D14" t="s">
        <v>175</v>
      </c>
      <c r="E14" t="s">
        <v>173</v>
      </c>
      <c r="M14" t="s">
        <v>184</v>
      </c>
      <c r="N14">
        <v>212</v>
      </c>
      <c r="O14">
        <v>120000</v>
      </c>
      <c r="P14" t="s">
        <v>185</v>
      </c>
      <c r="Q14" t="s">
        <v>183</v>
      </c>
    </row>
    <row r="15" spans="1:25" x14ac:dyDescent="0.3">
      <c r="A15" t="s">
        <v>176</v>
      </c>
      <c r="B15">
        <v>113</v>
      </c>
      <c r="C15">
        <v>67000</v>
      </c>
      <c r="D15" t="s">
        <v>177</v>
      </c>
      <c r="E15" t="s">
        <v>173</v>
      </c>
      <c r="M15" t="s">
        <v>186</v>
      </c>
      <c r="N15">
        <v>213</v>
      </c>
      <c r="O15">
        <v>98000</v>
      </c>
      <c r="P15" t="s">
        <v>187</v>
      </c>
      <c r="Q15" t="s">
        <v>183</v>
      </c>
    </row>
    <row r="16" spans="1:25" x14ac:dyDescent="0.3">
      <c r="A16" t="s">
        <v>178</v>
      </c>
      <c r="B16">
        <v>114</v>
      </c>
      <c r="C16">
        <v>89000</v>
      </c>
      <c r="D16" t="s">
        <v>179</v>
      </c>
      <c r="E16" t="s">
        <v>173</v>
      </c>
      <c r="M16" t="s">
        <v>188</v>
      </c>
      <c r="N16">
        <v>214</v>
      </c>
      <c r="O16">
        <v>56000</v>
      </c>
      <c r="P16" t="s">
        <v>189</v>
      </c>
      <c r="Q16" t="s">
        <v>183</v>
      </c>
    </row>
    <row r="17" spans="1:17" x14ac:dyDescent="0.3">
      <c r="A17" t="s">
        <v>180</v>
      </c>
      <c r="B17">
        <v>115</v>
      </c>
      <c r="C17">
        <v>77000</v>
      </c>
      <c r="D17" t="s">
        <v>26</v>
      </c>
      <c r="E17" t="s">
        <v>173</v>
      </c>
      <c r="M17" t="s">
        <v>190</v>
      </c>
      <c r="N17">
        <v>215</v>
      </c>
      <c r="O17">
        <v>46000</v>
      </c>
      <c r="P17" t="s">
        <v>191</v>
      </c>
      <c r="Q17" t="s">
        <v>183</v>
      </c>
    </row>
    <row r="18" spans="1:17" x14ac:dyDescent="0.3">
      <c r="A18" t="s">
        <v>171</v>
      </c>
      <c r="B18">
        <v>116</v>
      </c>
      <c r="C18">
        <v>75000</v>
      </c>
      <c r="D18" t="s">
        <v>172</v>
      </c>
      <c r="E18" t="s">
        <v>173</v>
      </c>
      <c r="M18" t="s">
        <v>110</v>
      </c>
      <c r="N18">
        <v>216</v>
      </c>
      <c r="O18">
        <v>50000</v>
      </c>
      <c r="P18" t="s">
        <v>182</v>
      </c>
      <c r="Q18" t="s">
        <v>183</v>
      </c>
    </row>
    <row r="19" spans="1:17" x14ac:dyDescent="0.3">
      <c r="A19" t="s">
        <v>174</v>
      </c>
      <c r="B19">
        <v>117</v>
      </c>
      <c r="C19">
        <v>45000</v>
      </c>
      <c r="D19" t="s">
        <v>175</v>
      </c>
      <c r="E19" t="s">
        <v>173</v>
      </c>
      <c r="M19" t="s">
        <v>184</v>
      </c>
      <c r="N19">
        <v>217</v>
      </c>
      <c r="O19">
        <v>120000</v>
      </c>
      <c r="P19" t="s">
        <v>185</v>
      </c>
      <c r="Q19" t="s">
        <v>183</v>
      </c>
    </row>
    <row r="20" spans="1:17" x14ac:dyDescent="0.3">
      <c r="A20" t="s">
        <v>176</v>
      </c>
      <c r="B20">
        <v>118</v>
      </c>
      <c r="C20">
        <v>67000</v>
      </c>
      <c r="D20" t="s">
        <v>177</v>
      </c>
      <c r="E20" t="s">
        <v>173</v>
      </c>
      <c r="M20" t="s">
        <v>186</v>
      </c>
      <c r="N20">
        <v>218</v>
      </c>
      <c r="O20">
        <v>98000</v>
      </c>
      <c r="P20" t="s">
        <v>187</v>
      </c>
      <c r="Q20" t="s">
        <v>183</v>
      </c>
    </row>
    <row r="21" spans="1:17" x14ac:dyDescent="0.3">
      <c r="A21" t="s">
        <v>178</v>
      </c>
      <c r="B21">
        <v>119</v>
      </c>
      <c r="C21">
        <v>89000</v>
      </c>
      <c r="D21" t="s">
        <v>179</v>
      </c>
      <c r="E21" t="s">
        <v>173</v>
      </c>
      <c r="M21" t="s">
        <v>188</v>
      </c>
      <c r="N21">
        <v>219</v>
      </c>
      <c r="O21">
        <v>56000</v>
      </c>
      <c r="P21" t="s">
        <v>189</v>
      </c>
      <c r="Q21" t="s">
        <v>183</v>
      </c>
    </row>
    <row r="22" spans="1:17" x14ac:dyDescent="0.3">
      <c r="A22" t="s">
        <v>180</v>
      </c>
      <c r="B22">
        <v>120</v>
      </c>
      <c r="C22">
        <v>77000</v>
      </c>
      <c r="D22" t="s">
        <v>26</v>
      </c>
      <c r="E22" t="s">
        <v>173</v>
      </c>
      <c r="M22" t="s">
        <v>190</v>
      </c>
      <c r="N22">
        <v>220</v>
      </c>
      <c r="O22">
        <v>46000</v>
      </c>
      <c r="P22" t="s">
        <v>191</v>
      </c>
      <c r="Q22" t="s">
        <v>183</v>
      </c>
    </row>
    <row r="23" spans="1:17" x14ac:dyDescent="0.3">
      <c r="A23" t="s">
        <v>171</v>
      </c>
      <c r="B23">
        <v>121</v>
      </c>
      <c r="C23">
        <v>75000</v>
      </c>
      <c r="D23" t="s">
        <v>172</v>
      </c>
      <c r="E23" t="s">
        <v>173</v>
      </c>
      <c r="M23" t="s">
        <v>110</v>
      </c>
      <c r="N23">
        <v>221</v>
      </c>
      <c r="O23">
        <v>50000</v>
      </c>
      <c r="P23" t="s">
        <v>182</v>
      </c>
      <c r="Q23" t="s">
        <v>183</v>
      </c>
    </row>
    <row r="24" spans="1:17" x14ac:dyDescent="0.3">
      <c r="A24" t="s">
        <v>174</v>
      </c>
      <c r="B24">
        <v>122</v>
      </c>
      <c r="C24">
        <v>45000</v>
      </c>
      <c r="D24" t="s">
        <v>175</v>
      </c>
      <c r="E24" t="s">
        <v>173</v>
      </c>
      <c r="M24" t="s">
        <v>184</v>
      </c>
      <c r="N24">
        <v>222</v>
      </c>
      <c r="O24">
        <v>120000</v>
      </c>
      <c r="P24" t="s">
        <v>185</v>
      </c>
      <c r="Q24" t="s">
        <v>183</v>
      </c>
    </row>
    <row r="25" spans="1:17" x14ac:dyDescent="0.3">
      <c r="A25" t="s">
        <v>176</v>
      </c>
      <c r="B25">
        <v>123</v>
      </c>
      <c r="C25">
        <v>67000</v>
      </c>
      <c r="D25" t="s">
        <v>177</v>
      </c>
      <c r="E25" t="s">
        <v>173</v>
      </c>
      <c r="M25" t="s">
        <v>186</v>
      </c>
      <c r="N25">
        <v>223</v>
      </c>
      <c r="O25">
        <v>98000</v>
      </c>
      <c r="P25" t="s">
        <v>187</v>
      </c>
      <c r="Q25" t="s">
        <v>183</v>
      </c>
    </row>
    <row r="26" spans="1:17" x14ac:dyDescent="0.3">
      <c r="A26" t="s">
        <v>178</v>
      </c>
      <c r="B26">
        <v>124</v>
      </c>
      <c r="C26">
        <v>89000</v>
      </c>
      <c r="D26" t="s">
        <v>179</v>
      </c>
      <c r="E26" t="s">
        <v>173</v>
      </c>
      <c r="M26" t="s">
        <v>188</v>
      </c>
      <c r="N26">
        <v>224</v>
      </c>
      <c r="O26">
        <v>56000</v>
      </c>
      <c r="P26" t="s">
        <v>189</v>
      </c>
      <c r="Q26" t="s">
        <v>183</v>
      </c>
    </row>
    <row r="27" spans="1:17" x14ac:dyDescent="0.3">
      <c r="A27" t="s">
        <v>180</v>
      </c>
      <c r="B27">
        <v>125</v>
      </c>
      <c r="C27">
        <v>77000</v>
      </c>
      <c r="D27" t="s">
        <v>26</v>
      </c>
      <c r="E27" t="s">
        <v>173</v>
      </c>
      <c r="M27" t="s">
        <v>190</v>
      </c>
      <c r="N27">
        <v>225</v>
      </c>
      <c r="O27">
        <v>46000</v>
      </c>
      <c r="P27" t="s">
        <v>191</v>
      </c>
      <c r="Q27" t="s">
        <v>183</v>
      </c>
    </row>
    <row r="28" spans="1:17" x14ac:dyDescent="0.3">
      <c r="A28" t="s">
        <v>171</v>
      </c>
      <c r="B28">
        <v>126</v>
      </c>
      <c r="C28">
        <v>75000</v>
      </c>
      <c r="D28" t="s">
        <v>172</v>
      </c>
      <c r="E28" t="s">
        <v>173</v>
      </c>
      <c r="M28" t="s">
        <v>110</v>
      </c>
      <c r="N28">
        <v>226</v>
      </c>
      <c r="O28">
        <v>50000</v>
      </c>
      <c r="P28" t="s">
        <v>182</v>
      </c>
      <c r="Q28" t="s">
        <v>183</v>
      </c>
    </row>
    <row r="29" spans="1:17" x14ac:dyDescent="0.3">
      <c r="A29" t="s">
        <v>174</v>
      </c>
      <c r="B29">
        <v>127</v>
      </c>
      <c r="C29">
        <v>45000</v>
      </c>
      <c r="D29" t="s">
        <v>175</v>
      </c>
      <c r="E29" t="s">
        <v>173</v>
      </c>
      <c r="M29" t="s">
        <v>184</v>
      </c>
      <c r="N29">
        <v>227</v>
      </c>
      <c r="O29">
        <v>120000</v>
      </c>
      <c r="P29" t="s">
        <v>185</v>
      </c>
      <c r="Q29" t="s">
        <v>183</v>
      </c>
    </row>
    <row r="30" spans="1:17" x14ac:dyDescent="0.3">
      <c r="A30" t="s">
        <v>176</v>
      </c>
      <c r="B30">
        <v>128</v>
      </c>
      <c r="C30">
        <v>67000</v>
      </c>
      <c r="D30" t="s">
        <v>177</v>
      </c>
      <c r="E30" t="s">
        <v>173</v>
      </c>
      <c r="M30" t="s">
        <v>186</v>
      </c>
      <c r="N30">
        <v>228</v>
      </c>
      <c r="O30">
        <v>98000</v>
      </c>
      <c r="P30" t="s">
        <v>187</v>
      </c>
      <c r="Q30" t="s">
        <v>183</v>
      </c>
    </row>
    <row r="31" spans="1:17" x14ac:dyDescent="0.3">
      <c r="A31" t="s">
        <v>178</v>
      </c>
      <c r="B31">
        <v>129</v>
      </c>
      <c r="C31">
        <v>89000</v>
      </c>
      <c r="D31" t="s">
        <v>179</v>
      </c>
      <c r="E31" t="s">
        <v>173</v>
      </c>
      <c r="M31" t="s">
        <v>188</v>
      </c>
      <c r="N31">
        <v>229</v>
      </c>
      <c r="O31">
        <v>56000</v>
      </c>
      <c r="P31" t="s">
        <v>189</v>
      </c>
      <c r="Q31" t="s">
        <v>183</v>
      </c>
    </row>
    <row r="32" spans="1:17" x14ac:dyDescent="0.3">
      <c r="A32" t="s">
        <v>180</v>
      </c>
      <c r="B32">
        <v>130</v>
      </c>
      <c r="C32">
        <v>77000</v>
      </c>
      <c r="D32" t="s">
        <v>26</v>
      </c>
      <c r="E32" t="s">
        <v>173</v>
      </c>
      <c r="M32" t="s">
        <v>190</v>
      </c>
      <c r="N32">
        <v>230</v>
      </c>
      <c r="O32">
        <v>46000</v>
      </c>
      <c r="P32" t="s">
        <v>191</v>
      </c>
      <c r="Q32" t="s">
        <v>183</v>
      </c>
    </row>
    <row r="33" spans="1:17" x14ac:dyDescent="0.3">
      <c r="A33" t="s">
        <v>171</v>
      </c>
      <c r="B33">
        <v>131</v>
      </c>
      <c r="C33">
        <v>75000</v>
      </c>
      <c r="D33" t="s">
        <v>172</v>
      </c>
      <c r="E33" t="s">
        <v>173</v>
      </c>
      <c r="M33" t="s">
        <v>110</v>
      </c>
      <c r="N33">
        <v>231</v>
      </c>
      <c r="O33">
        <v>50000</v>
      </c>
      <c r="P33" t="s">
        <v>182</v>
      </c>
      <c r="Q33" t="s">
        <v>183</v>
      </c>
    </row>
    <row r="34" spans="1:17" x14ac:dyDescent="0.3">
      <c r="A34" t="s">
        <v>174</v>
      </c>
      <c r="B34">
        <v>132</v>
      </c>
      <c r="C34">
        <v>45000</v>
      </c>
      <c r="D34" t="s">
        <v>175</v>
      </c>
      <c r="E34" t="s">
        <v>173</v>
      </c>
      <c r="M34" t="s">
        <v>184</v>
      </c>
      <c r="N34">
        <v>232</v>
      </c>
      <c r="O34">
        <v>120000</v>
      </c>
      <c r="P34" t="s">
        <v>185</v>
      </c>
      <c r="Q34" t="s">
        <v>183</v>
      </c>
    </row>
    <row r="35" spans="1:17" x14ac:dyDescent="0.3">
      <c r="A35" t="s">
        <v>176</v>
      </c>
      <c r="B35">
        <v>133</v>
      </c>
      <c r="C35">
        <v>67000</v>
      </c>
      <c r="D35" t="s">
        <v>177</v>
      </c>
      <c r="E35" t="s">
        <v>173</v>
      </c>
      <c r="M35" t="s">
        <v>186</v>
      </c>
      <c r="N35">
        <v>233</v>
      </c>
      <c r="O35">
        <v>98000</v>
      </c>
      <c r="P35" t="s">
        <v>187</v>
      </c>
      <c r="Q35" t="s">
        <v>183</v>
      </c>
    </row>
    <row r="36" spans="1:17" x14ac:dyDescent="0.3">
      <c r="A36" t="s">
        <v>178</v>
      </c>
      <c r="B36">
        <v>134</v>
      </c>
      <c r="C36">
        <v>89000</v>
      </c>
      <c r="D36" t="s">
        <v>179</v>
      </c>
      <c r="E36" t="s">
        <v>173</v>
      </c>
      <c r="M36" t="s">
        <v>188</v>
      </c>
      <c r="N36">
        <v>234</v>
      </c>
      <c r="O36">
        <v>56000</v>
      </c>
      <c r="P36" t="s">
        <v>189</v>
      </c>
      <c r="Q36" t="s">
        <v>183</v>
      </c>
    </row>
    <row r="37" spans="1:17" x14ac:dyDescent="0.3">
      <c r="A37" t="s">
        <v>180</v>
      </c>
      <c r="B37">
        <v>135</v>
      </c>
      <c r="C37">
        <v>77000</v>
      </c>
      <c r="D37" t="s">
        <v>26</v>
      </c>
      <c r="E37" t="s">
        <v>173</v>
      </c>
      <c r="M37" t="s">
        <v>190</v>
      </c>
      <c r="N37">
        <v>235</v>
      </c>
      <c r="O37">
        <v>46000</v>
      </c>
      <c r="P37" t="s">
        <v>191</v>
      </c>
      <c r="Q37" t="s">
        <v>183</v>
      </c>
    </row>
    <row r="38" spans="1:17" x14ac:dyDescent="0.3">
      <c r="A38" t="s">
        <v>171</v>
      </c>
      <c r="B38">
        <v>136</v>
      </c>
      <c r="C38">
        <v>75000</v>
      </c>
      <c r="D38" t="s">
        <v>172</v>
      </c>
      <c r="E38" t="s">
        <v>173</v>
      </c>
      <c r="M38" t="s">
        <v>110</v>
      </c>
      <c r="N38">
        <v>236</v>
      </c>
      <c r="O38">
        <v>50000</v>
      </c>
      <c r="P38" t="s">
        <v>182</v>
      </c>
      <c r="Q38" t="s">
        <v>183</v>
      </c>
    </row>
    <row r="39" spans="1:17" x14ac:dyDescent="0.3">
      <c r="A39" t="s">
        <v>174</v>
      </c>
      <c r="B39">
        <v>137</v>
      </c>
      <c r="C39">
        <v>45000</v>
      </c>
      <c r="D39" t="s">
        <v>175</v>
      </c>
      <c r="E39" t="s">
        <v>173</v>
      </c>
      <c r="M39" t="s">
        <v>184</v>
      </c>
      <c r="N39">
        <v>237</v>
      </c>
      <c r="O39">
        <v>120000</v>
      </c>
      <c r="P39" t="s">
        <v>185</v>
      </c>
      <c r="Q39" t="s">
        <v>183</v>
      </c>
    </row>
    <row r="40" spans="1:17" x14ac:dyDescent="0.3">
      <c r="A40" t="s">
        <v>176</v>
      </c>
      <c r="B40">
        <v>138</v>
      </c>
      <c r="C40">
        <v>67000</v>
      </c>
      <c r="D40" t="s">
        <v>177</v>
      </c>
      <c r="E40" t="s">
        <v>173</v>
      </c>
      <c r="M40" t="s">
        <v>186</v>
      </c>
      <c r="N40">
        <v>238</v>
      </c>
      <c r="O40">
        <v>98000</v>
      </c>
      <c r="P40" t="s">
        <v>187</v>
      </c>
      <c r="Q40" t="s">
        <v>183</v>
      </c>
    </row>
    <row r="41" spans="1:17" x14ac:dyDescent="0.3">
      <c r="A41" t="s">
        <v>178</v>
      </c>
      <c r="B41">
        <v>139</v>
      </c>
      <c r="C41">
        <v>89000</v>
      </c>
      <c r="D41" t="s">
        <v>179</v>
      </c>
      <c r="E41" t="s">
        <v>173</v>
      </c>
      <c r="M41" t="s">
        <v>188</v>
      </c>
      <c r="N41">
        <v>239</v>
      </c>
      <c r="O41">
        <v>56000</v>
      </c>
      <c r="P41" t="s">
        <v>189</v>
      </c>
      <c r="Q41" t="s">
        <v>183</v>
      </c>
    </row>
    <row r="42" spans="1:17" x14ac:dyDescent="0.3">
      <c r="A42" t="s">
        <v>180</v>
      </c>
      <c r="B42">
        <v>140</v>
      </c>
      <c r="C42">
        <v>77000</v>
      </c>
      <c r="D42" t="s">
        <v>26</v>
      </c>
      <c r="E42" t="s">
        <v>173</v>
      </c>
      <c r="M42" t="s">
        <v>190</v>
      </c>
      <c r="N42">
        <v>240</v>
      </c>
      <c r="O42">
        <v>46000</v>
      </c>
      <c r="P42" t="s">
        <v>191</v>
      </c>
      <c r="Q42" t="s">
        <v>183</v>
      </c>
    </row>
    <row r="43" spans="1:17" x14ac:dyDescent="0.3">
      <c r="A43" t="s">
        <v>171</v>
      </c>
      <c r="B43">
        <v>141</v>
      </c>
      <c r="C43">
        <v>75000</v>
      </c>
      <c r="D43" t="s">
        <v>172</v>
      </c>
      <c r="E43" t="s">
        <v>173</v>
      </c>
      <c r="M43" t="s">
        <v>110</v>
      </c>
      <c r="N43">
        <v>241</v>
      </c>
      <c r="O43">
        <v>50000</v>
      </c>
      <c r="P43" t="s">
        <v>182</v>
      </c>
      <c r="Q43" t="s">
        <v>183</v>
      </c>
    </row>
    <row r="44" spans="1:17" x14ac:dyDescent="0.3">
      <c r="A44" t="s">
        <v>174</v>
      </c>
      <c r="B44">
        <v>142</v>
      </c>
      <c r="C44">
        <v>45000</v>
      </c>
      <c r="D44" t="s">
        <v>175</v>
      </c>
      <c r="E44" t="s">
        <v>173</v>
      </c>
      <c r="M44" t="s">
        <v>184</v>
      </c>
      <c r="N44">
        <v>242</v>
      </c>
      <c r="O44">
        <v>120000</v>
      </c>
      <c r="P44" t="s">
        <v>185</v>
      </c>
      <c r="Q44" t="s">
        <v>183</v>
      </c>
    </row>
    <row r="45" spans="1:17" x14ac:dyDescent="0.3">
      <c r="A45" t="s">
        <v>176</v>
      </c>
      <c r="B45">
        <v>143</v>
      </c>
      <c r="C45">
        <v>67000</v>
      </c>
      <c r="D45" t="s">
        <v>177</v>
      </c>
      <c r="E45" t="s">
        <v>173</v>
      </c>
      <c r="M45" t="s">
        <v>186</v>
      </c>
      <c r="N45">
        <v>243</v>
      </c>
      <c r="O45">
        <v>98000</v>
      </c>
      <c r="P45" t="s">
        <v>187</v>
      </c>
      <c r="Q45" t="s">
        <v>183</v>
      </c>
    </row>
    <row r="46" spans="1:17" x14ac:dyDescent="0.3">
      <c r="A46" t="s">
        <v>178</v>
      </c>
      <c r="B46">
        <v>144</v>
      </c>
      <c r="C46">
        <v>89000</v>
      </c>
      <c r="D46" t="s">
        <v>179</v>
      </c>
      <c r="E46" t="s">
        <v>173</v>
      </c>
      <c r="M46" t="s">
        <v>188</v>
      </c>
      <c r="N46">
        <v>244</v>
      </c>
      <c r="O46">
        <v>56000</v>
      </c>
      <c r="P46" t="s">
        <v>189</v>
      </c>
      <c r="Q46" t="s">
        <v>183</v>
      </c>
    </row>
    <row r="47" spans="1:17" x14ac:dyDescent="0.3">
      <c r="A47" t="s">
        <v>180</v>
      </c>
      <c r="B47">
        <v>145</v>
      </c>
      <c r="C47">
        <v>77000</v>
      </c>
      <c r="D47" t="s">
        <v>26</v>
      </c>
      <c r="E47" t="s">
        <v>173</v>
      </c>
      <c r="M47" t="s">
        <v>190</v>
      </c>
      <c r="N47">
        <v>245</v>
      </c>
      <c r="O47">
        <v>46000</v>
      </c>
      <c r="P47" t="s">
        <v>191</v>
      </c>
      <c r="Q47" t="s">
        <v>183</v>
      </c>
    </row>
    <row r="48" spans="1:17" x14ac:dyDescent="0.3">
      <c r="A48" t="s">
        <v>171</v>
      </c>
      <c r="B48">
        <v>146</v>
      </c>
      <c r="C48">
        <v>75000</v>
      </c>
      <c r="D48" t="s">
        <v>172</v>
      </c>
      <c r="E48" t="s">
        <v>173</v>
      </c>
      <c r="M48" t="s">
        <v>110</v>
      </c>
      <c r="N48">
        <v>246</v>
      </c>
      <c r="O48">
        <v>50000</v>
      </c>
      <c r="P48" t="s">
        <v>182</v>
      </c>
      <c r="Q48" t="s">
        <v>183</v>
      </c>
    </row>
    <row r="49" spans="1:17" x14ac:dyDescent="0.3">
      <c r="A49" t="s">
        <v>174</v>
      </c>
      <c r="B49">
        <v>147</v>
      </c>
      <c r="C49">
        <v>45000</v>
      </c>
      <c r="D49" t="s">
        <v>175</v>
      </c>
      <c r="E49" t="s">
        <v>173</v>
      </c>
      <c r="M49" t="s">
        <v>184</v>
      </c>
      <c r="N49">
        <v>247</v>
      </c>
      <c r="O49">
        <v>120000</v>
      </c>
      <c r="P49" t="s">
        <v>185</v>
      </c>
      <c r="Q49" t="s">
        <v>183</v>
      </c>
    </row>
    <row r="50" spans="1:17" x14ac:dyDescent="0.3">
      <c r="A50" t="s">
        <v>176</v>
      </c>
      <c r="B50">
        <v>148</v>
      </c>
      <c r="C50">
        <v>67000</v>
      </c>
      <c r="D50" t="s">
        <v>177</v>
      </c>
      <c r="E50" t="s">
        <v>173</v>
      </c>
      <c r="M50" t="s">
        <v>186</v>
      </c>
      <c r="N50">
        <v>248</v>
      </c>
      <c r="O50">
        <v>98000</v>
      </c>
      <c r="P50" t="s">
        <v>187</v>
      </c>
      <c r="Q50" t="s">
        <v>183</v>
      </c>
    </row>
    <row r="51" spans="1:17" x14ac:dyDescent="0.3">
      <c r="M51" t="s">
        <v>188</v>
      </c>
      <c r="N51">
        <v>249</v>
      </c>
      <c r="O51">
        <v>56000</v>
      </c>
      <c r="P51" t="s">
        <v>189</v>
      </c>
      <c r="Q51" t="s">
        <v>183</v>
      </c>
    </row>
  </sheetData>
  <mergeCells count="1">
    <mergeCell ref="G1:K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CB01C-A63A-4591-9354-F1B25E53C29D}">
  <dimension ref="D1:N19"/>
  <sheetViews>
    <sheetView tabSelected="1" topLeftCell="A3" zoomScale="121" workbookViewId="0">
      <selection activeCell="G17" sqref="G17"/>
    </sheetView>
  </sheetViews>
  <sheetFormatPr defaultRowHeight="14.4" x14ac:dyDescent="0.3"/>
  <cols>
    <col min="6" max="6" width="15.44140625" bestFit="1" customWidth="1"/>
    <col min="7" max="7" width="52" bestFit="1" customWidth="1"/>
  </cols>
  <sheetData>
    <row r="1" spans="4:14" ht="14.4" customHeight="1" thickBot="1" x14ac:dyDescent="0.35">
      <c r="F1" s="19"/>
      <c r="G1" s="19"/>
      <c r="H1" s="19"/>
      <c r="I1" s="19"/>
      <c r="J1" s="19"/>
    </row>
    <row r="2" spans="4:14" ht="14.4" customHeight="1" thickTop="1" x14ac:dyDescent="0.3">
      <c r="F2" s="38" t="s">
        <v>207</v>
      </c>
      <c r="G2" s="39"/>
      <c r="H2" s="26"/>
      <c r="I2" s="19"/>
      <c r="J2" s="19"/>
    </row>
    <row r="3" spans="4:14" ht="14.4" customHeight="1" x14ac:dyDescent="0.3">
      <c r="F3" s="40"/>
      <c r="G3" s="41"/>
      <c r="H3" s="26"/>
      <c r="I3" s="19"/>
      <c r="J3" s="19"/>
    </row>
    <row r="4" spans="4:14" ht="14.4" customHeight="1" x14ac:dyDescent="0.3">
      <c r="F4" s="40"/>
      <c r="G4" s="41"/>
      <c r="H4" s="26"/>
      <c r="I4" s="19"/>
      <c r="J4" s="19"/>
    </row>
    <row r="5" spans="4:14" ht="14.4" customHeight="1" x14ac:dyDescent="0.3">
      <c r="F5" s="40"/>
      <c r="G5" s="41"/>
      <c r="H5" s="26"/>
      <c r="I5" s="19"/>
      <c r="J5" s="19"/>
    </row>
    <row r="6" spans="4:14" ht="46.8" thickBot="1" x14ac:dyDescent="0.35">
      <c r="F6" s="40"/>
      <c r="G6" s="41"/>
      <c r="H6" s="26"/>
      <c r="I6" s="19"/>
      <c r="J6" s="19"/>
    </row>
    <row r="7" spans="4:14" ht="16.2" customHeight="1" thickTop="1" x14ac:dyDescent="0.3">
      <c r="F7" s="25"/>
      <c r="G7" s="25"/>
      <c r="H7" s="19"/>
      <c r="I7" s="19"/>
      <c r="J7" s="19"/>
    </row>
    <row r="8" spans="4:14" ht="3" hidden="1" customHeight="1" x14ac:dyDescent="0.3">
      <c r="F8" s="19"/>
      <c r="G8" s="19"/>
      <c r="H8" s="19"/>
      <c r="I8" s="19"/>
      <c r="J8" s="19"/>
    </row>
    <row r="9" spans="4:14" ht="4.95" hidden="1" customHeight="1" x14ac:dyDescent="0.3">
      <c r="F9" s="19"/>
      <c r="G9" s="19"/>
      <c r="H9" s="19"/>
      <c r="I9" s="19"/>
      <c r="J9" s="19"/>
    </row>
    <row r="10" spans="4:14" ht="9.6" customHeight="1" thickBot="1" x14ac:dyDescent="0.35">
      <c r="F10" s="19"/>
      <c r="G10" s="19"/>
      <c r="H10" s="19"/>
      <c r="I10" s="19"/>
      <c r="J10" s="19"/>
    </row>
    <row r="11" spans="4:14" ht="14.4" customHeight="1" thickTop="1" x14ac:dyDescent="0.3">
      <c r="D11" s="23"/>
      <c r="E11" s="23"/>
      <c r="F11" s="32" t="s">
        <v>208</v>
      </c>
      <c r="G11" s="33"/>
      <c r="H11" s="24"/>
      <c r="I11" s="23"/>
      <c r="J11" s="22"/>
      <c r="K11" s="22"/>
      <c r="L11" s="22"/>
      <c r="M11" s="22"/>
      <c r="N11" s="22"/>
    </row>
    <row r="12" spans="4:14" x14ac:dyDescent="0.3">
      <c r="D12" s="23"/>
      <c r="E12" s="23"/>
      <c r="F12" s="34"/>
      <c r="G12" s="35"/>
      <c r="H12" s="24"/>
      <c r="I12" s="23"/>
      <c r="J12" s="22"/>
      <c r="K12" s="22"/>
      <c r="L12" s="22"/>
      <c r="M12" s="22"/>
      <c r="N12" s="22"/>
    </row>
    <row r="13" spans="4:14" ht="15" thickBot="1" x14ac:dyDescent="0.35">
      <c r="D13" s="23"/>
      <c r="E13" s="23"/>
      <c r="F13" s="36"/>
      <c r="G13" s="37"/>
      <c r="H13" s="24"/>
      <c r="I13" s="23"/>
      <c r="J13" s="22"/>
      <c r="K13" s="22"/>
      <c r="L13" s="22"/>
      <c r="M13" s="22"/>
      <c r="N13" s="22"/>
    </row>
    <row r="14" spans="4:14" ht="15" thickTop="1" x14ac:dyDescent="0.3">
      <c r="G14" s="20"/>
    </row>
    <row r="15" spans="4:14" x14ac:dyDescent="0.3">
      <c r="F15" s="13" t="s">
        <v>168</v>
      </c>
      <c r="G15" s="5">
        <v>101</v>
      </c>
    </row>
    <row r="16" spans="4:14" x14ac:dyDescent="0.3">
      <c r="F16" s="13" t="s">
        <v>167</v>
      </c>
      <c r="G16" s="5"/>
    </row>
    <row r="17" spans="6:7" x14ac:dyDescent="0.3">
      <c r="F17" s="13" t="s">
        <v>169</v>
      </c>
      <c r="G17" s="5"/>
    </row>
    <row r="18" spans="6:7" x14ac:dyDescent="0.3">
      <c r="F18" s="13" t="s">
        <v>4</v>
      </c>
      <c r="G18" s="5"/>
    </row>
    <row r="19" spans="6:7" x14ac:dyDescent="0.3">
      <c r="F19" s="13" t="s">
        <v>170</v>
      </c>
      <c r="G19" s="5"/>
    </row>
  </sheetData>
  <mergeCells count="2">
    <mergeCell ref="F11:G13"/>
    <mergeCell ref="F2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VLOOKUP</vt:lpstr>
      <vt:lpstr>HLOOKUP</vt:lpstr>
      <vt:lpstr>HLOOK_UP</vt:lpstr>
      <vt:lpstr>MATCH</vt:lpstr>
      <vt:lpstr>ACCOUNT</vt:lpstr>
      <vt:lpstr>Xlookup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Jaiswal</dc:creator>
  <cp:lastModifiedBy>Ayush Jaiswal</cp:lastModifiedBy>
  <dcterms:created xsi:type="dcterms:W3CDTF">2025-08-19T19:47:37Z</dcterms:created>
  <dcterms:modified xsi:type="dcterms:W3CDTF">2025-08-29T08:06:40Z</dcterms:modified>
</cp:coreProperties>
</file>